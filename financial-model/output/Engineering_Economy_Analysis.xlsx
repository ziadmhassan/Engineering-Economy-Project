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2" activeTab="1"/>
  </bookViews>
  <sheets>
    <sheet name="01. Cover" sheetId="1" r:id="rId1"/>
    <sheet name="02. Assumptions" sheetId="2" r:id="rId2"/>
    <sheet name="03. Initial Investment" sheetId="3" r:id="rId3"/>
    <sheet name="04. Annual Cost" sheetId="4" r:id="rId4"/>
    <sheet name="05. CF — Alt 1 Manual" sheetId="5" r:id="rId5"/>
    <sheet name="06. CF — Alt 2 SaaS" sheetId="6" r:id="rId6"/>
    <sheet name="07. CF — Alt 3 In-House" sheetId="7" r:id="rId7"/>
    <sheet name="08. PW · AW · FW" sheetId="8" r:id="rId8"/>
    <sheet name="09. Payback" sheetId="9" r:id="rId9"/>
    <sheet name="10. IRR · ROR" sheetId="10" r:id="rId10"/>
    <sheet name="11. B over C" sheetId="11" r:id="rId11"/>
    <sheet name="12. Break-Even" sheetId="12" r:id="rId12"/>
    <sheet name="13. Sensitivity" sheetId="13" r:id="rId13"/>
    <sheet name="14. Recommendation" sheetId="14" r:id="rId14"/>
    <sheet name="15. Sources" sheetId="15" r:id="rId15"/>
  </sheets>
  <definedNames>
    <definedName name="ACTIVE_VALUE">'02. Assumptions'!$C$13</definedName>
    <definedName name="MARR">'02. Assumptions'!$C$5</definedName>
    <definedName name="PROJECT_VALUE">'02. Assumptions'!$C$12</definedName>
    <definedName name="STUDY_PERIOD">'02. Assumptions'!$C$6</definedName>
  </definedNames>
  <calcPr calcId="124519" fullCalcOnLoad="1"/>
</workbook>
</file>

<file path=xl/sharedStrings.xml><?xml version="1.0" encoding="utf-8"?>
<sst xmlns="http://schemas.openxmlformats.org/spreadsheetml/2006/main" count="578" uniqueCount="401">
  <si>
    <t>SOURCES &amp; REFERENCES</t>
  </si>
  <si>
    <t>Every numeric assumption in this workbook traces back to one of the sources below.</t>
  </si>
  <si>
    <t>#</t>
  </si>
  <si>
    <t>Key</t>
  </si>
  <si>
    <t>Title</t>
  </si>
  <si>
    <t>Publisher</t>
  </si>
  <si>
    <t>URL</t>
  </si>
  <si>
    <t>Note</t>
  </si>
  <si>
    <t>BLS_OHS</t>
  </si>
  <si>
    <t>BLS OES May 2024 — Occupational Health &amp; Safety Specialists (SOC 29-9011)</t>
  </si>
  <si>
    <t>U.S. Bureau of Labor Statistics (2024)</t>
  </si>
  <si>
    <t>https://www.bls.gov/oes/current/oes299011.htm</t>
  </si>
  <si>
    <t>Median annual wage $81,140; loaded cost ≈ 1.45× per BLS Employer Costs for Employee Comp.</t>
  </si>
  <si>
    <t>BLS_CM</t>
  </si>
  <si>
    <t>BLS OES May 2024 — Construction Managers (SOC 11-9021)</t>
  </si>
  <si>
    <t>https://www.bls.gov/oes/current/oes119021.htm</t>
  </si>
  <si>
    <t>Median annual wage $104,900.</t>
  </si>
  <si>
    <t>BLS_ECEC</t>
  </si>
  <si>
    <t>BLS — Employer Costs for Employee Compensation, Sep 2024</t>
  </si>
  <si>
    <t>https://www.bls.gov/news.release/ecec.htm</t>
  </si>
  <si>
    <t>Benefits ≈ 29.5% of total compensation; total loading ≈ 1.42–1.48× wage.</t>
  </si>
  <si>
    <t>LM_WSI</t>
  </si>
  <si>
    <t>Liberty Mutual Workplace Safety Index 2024</t>
  </si>
  <si>
    <t>Liberty Mutual Insurance (2024)</t>
  </si>
  <si>
    <t>https://www.libertymutualgroup.com/about-lm/news/news-release-archive/articles/2024-workplace-safety-index</t>
  </si>
  <si>
    <t>Top 10 disabling workplace injuries cost U.S. employers $58.6B; construction over-indexes.</t>
  </si>
  <si>
    <t>OSHA_CFOI</t>
  </si>
  <si>
    <t>BLS Census of Fatal Occupational Injuries 2023</t>
  </si>
  <si>
    <t>U.S. Bureau of Labor Statistics / OSHA (2023)</t>
  </si>
  <si>
    <t>https://www.bls.gov/iif/oshcfoi1.htm</t>
  </si>
  <si>
    <t>Construction is the #1 industry for fatal injuries; ~1,069 deaths in 2022.</t>
  </si>
  <si>
    <t>OSHA_PENALTIES</t>
  </si>
  <si>
    <t>OSHA — Penalties (FY 2024 max $16,131 per serious; $161,323 per willful)</t>
  </si>
  <si>
    <t>U.S. Department of Labor / OSHA (2024)</t>
  </si>
  <si>
    <t>https://www.osha.gov/penalties</t>
  </si>
  <si>
    <t>Direct regulatory exposure on safety violations.</t>
  </si>
  <si>
    <t>CII_REWORK</t>
  </si>
  <si>
    <t>Construction Industry Institute — Cost of Rework (RT-153)</t>
  </si>
  <si>
    <t>Construction Industry Institute (2005)</t>
  </si>
  <si>
    <t>https://www.construction-institute.org/resources/knowledgebase/best-practices/rework-management</t>
  </si>
  <si>
    <t>Direct rework averages 5% of contract value; preventable portion via monitoring ≈ 10–20%.</t>
  </si>
  <si>
    <t>ENR_INDEX</t>
  </si>
  <si>
    <t>ENR — 2024 Construction Industry Cost Indexes</t>
  </si>
  <si>
    <t>Engineering News-Record (2024)</t>
  </si>
  <si>
    <t>https://www.enr.com/economics</t>
  </si>
  <si>
    <t>Used to validate labor &amp; material cost magnitudes.</t>
  </si>
  <si>
    <t>PROCORE_PRICE</t>
  </si>
  <si>
    <t>Procore Public Pricing 2024</t>
  </si>
  <si>
    <t>Procore Technologies (2024)</t>
  </si>
  <si>
    <t>https://www.procore.com/pricing</t>
  </si>
  <si>
    <t>Construction-management SaaS — typical mid-size project ~$15k/mo bundled.</t>
  </si>
  <si>
    <t>OPENSPACE</t>
  </si>
  <si>
    <t>OpenSpace.ai — Capture pricing &amp; case studies</t>
  </si>
  <si>
    <t>OpenSpace Labs Inc. (2024)</t>
  </si>
  <si>
    <t>https://www.openspace.ai</t>
  </si>
  <si>
    <t>AI 360° site capture; SaaS ~$3–5k/mo per project.</t>
  </si>
  <si>
    <t>BUILDOTS</t>
  </si>
  <si>
    <t>Buildots AI Monitoring — Case Studies</t>
  </si>
  <si>
    <t>Buildots (2024)</t>
  </si>
  <si>
    <t>https://www.buildots.com/case-studies</t>
  </si>
  <si>
    <t>Reports 50% reduction in schedule deviations on instrumented sites.</t>
  </si>
  <si>
    <t>SKYDIO_X10</t>
  </si>
  <si>
    <t>Skydio X10 autonomous drone pricing</t>
  </si>
  <si>
    <t>Skydio Inc. (2024)</t>
  </si>
  <si>
    <t>https://www.skydio.com/skydio-x10</t>
  </si>
  <si>
    <t>Enterprise autonomous drone, base ≈ $25k incl. dock.</t>
  </si>
  <si>
    <t>NVIDIA_JETSON</t>
  </si>
  <si>
    <t>NVIDIA Jetson Orin AGX — Edge AI module</t>
  </si>
  <si>
    <t>NVIDIA (2024)</t>
  </si>
  <si>
    <t>https://www.nvidia.com/en-us/autonomous-machines/embedded-systems/jetson-orin/</t>
  </si>
  <si>
    <t>Jetson Orin AGX dev kit ≈ $2,000; production module ≈ $1,800.</t>
  </si>
  <si>
    <t>AXIS_CAM</t>
  </si>
  <si>
    <t>Axis Communications IP Cameras — pricing</t>
  </si>
  <si>
    <t>Axis Communications (2024)</t>
  </si>
  <si>
    <t>https://www.axis.com/products/network-cameras</t>
  </si>
  <si>
    <t>Outdoor PTZ + analytics-capable IP cam ≈ $1,200–$2,500.</t>
  </si>
  <si>
    <t>AWS_CALC</t>
  </si>
  <si>
    <t>AWS Pricing Calculator</t>
  </si>
  <si>
    <t>Amazon Web Services (2024)</t>
  </si>
  <si>
    <t>https://calculator.aws</t>
  </si>
  <si>
    <t>EC2 g5.xlarge inference + S3 + Kinesis ≈ $1.5–2.5k/mo for this workload.</t>
  </si>
  <si>
    <t>GLASSDOOR_ML</t>
  </si>
  <si>
    <t>Glassdoor / Levels.fyi — ML/Data Engineer median U.S. (2024)</t>
  </si>
  <si>
    <t>Glassdoor, Levels.fyi (2024)</t>
  </si>
  <si>
    <t>https://www.glassdoor.com/Salaries/machine-learning-engineer-salary-SRCH_KO0,25.htm</t>
  </si>
  <si>
    <t>ML engineer base ~$130k; loaded ≈ $190k mid-market.</t>
  </si>
  <si>
    <t>DODGE_DATA</t>
  </si>
  <si>
    <t>Dodge Data &amp; Analytics — Construction Risk Studies 2023</t>
  </si>
  <si>
    <t>Dodge Data &amp; Analytics (2023)</t>
  </si>
  <si>
    <t>https://www.construction.com/toolkit/reports</t>
  </si>
  <si>
    <t>Risk-adjusted accident frequency for U.S. high-rise projects.</t>
  </si>
  <si>
    <t>AGC_OUTLOOK</t>
  </si>
  <si>
    <t>AGC of America — 2024 Construction Outlook Survey</t>
  </si>
  <si>
    <t>Associated General Contractors of America (2024)</t>
  </si>
  <si>
    <t>https://www.agc.org/learn/construction-data/2024-construction-outlook-survey</t>
  </si>
  <si>
    <t>Labor cost &amp; schedule pressure validation.</t>
  </si>
  <si>
    <t>Economic Analysis of Autonomous Site Monitoring</t>
  </si>
  <si>
    <t>Engineering Economy · ENGR 3222 · Spring 2026 · Final Term Project</t>
  </si>
  <si>
    <t>PROJECT BRIEFING</t>
  </si>
  <si>
    <t>Project Title</t>
  </si>
  <si>
    <t>Economic Analysis of Autonomous Site Monitoring Systems for Large-Scale Construction Projects</t>
  </si>
  <si>
    <t>Course</t>
  </si>
  <si>
    <t>ENGR 3222 — Engineering Economy</t>
  </si>
  <si>
    <t>Term</t>
  </si>
  <si>
    <t>Spring 2026</t>
  </si>
  <si>
    <t>Institution</t>
  </si>
  <si>
    <t>The American University in Cairo (AUC)</t>
  </si>
  <si>
    <t>Analysis Date</t>
  </si>
  <si>
    <t>May 13, 2026</t>
  </si>
  <si>
    <t>Currency</t>
  </si>
  <si>
    <t>USD</t>
  </si>
  <si>
    <t>MARR</t>
  </si>
  <si>
    <t>15%  (syllabus rule for USD revenues)</t>
  </si>
  <si>
    <t>Study Period</t>
  </si>
  <si>
    <t>5 years</t>
  </si>
  <si>
    <t>Market</t>
  </si>
  <si>
    <t>United States · Mid-size U.S. metro contractor</t>
  </si>
  <si>
    <t>Site Type</t>
  </si>
  <si>
    <t>20-story Class-A commercial high-rise (Tier-2 U.S. metro)</t>
  </si>
  <si>
    <t>Total Project Value</t>
  </si>
  <si>
    <t>$50,000,000</t>
  </si>
  <si>
    <t>Active Value / Year</t>
  </si>
  <si>
    <t>$10,000,000</t>
  </si>
  <si>
    <t>TEAM</t>
  </si>
  <si>
    <t>Name</t>
  </si>
  <si>
    <t>Department</t>
  </si>
  <si>
    <t>ID</t>
  </si>
  <si>
    <t>Role</t>
  </si>
  <si>
    <t>Ziad Hassan</t>
  </si>
  <si>
    <t>Computer Engineering</t>
  </si>
  <si>
    <t>900213728</t>
  </si>
  <si>
    <t>Computer-Engineering perspective: hardware lifecycle, data pipeline</t>
  </si>
  <si>
    <t>Ahmed Anton</t>
  </si>
  <si>
    <t>Construction Engineering</t>
  </si>
  <si>
    <t>900253324</t>
  </si>
  <si>
    <t>Construction-Engineering perspective: site operations, schedule, safety, rework</t>
  </si>
  <si>
    <t>TABLE OF CONTENTS</t>
  </si>
  <si>
    <t>01. Cover &amp; Briefing</t>
  </si>
  <si>
    <t>02. General Assumptions</t>
  </si>
  <si>
    <t>03. Initial Investment Detail</t>
  </si>
  <si>
    <t>04. Annual Cost Detail</t>
  </si>
  <si>
    <t>05. Cash Flow — Alt 1 (Manual)</t>
  </si>
  <si>
    <t>06. Cash Flow — Alt 2 (SaaS)</t>
  </si>
  <si>
    <t>07. Cash Flow — Alt 3 (In-House)</t>
  </si>
  <si>
    <t>08. Worth Analysis: PW · AW · FW</t>
  </si>
  <si>
    <t>09. Payback Period</t>
  </si>
  <si>
    <t>10. Rate of Return (IRR &amp; ROR)</t>
  </si>
  <si>
    <t>11. Benefit / Cost Ratio</t>
  </si>
  <si>
    <t>12. Break-Even Analysis</t>
  </si>
  <si>
    <t>13. Sensitivity Analysis</t>
  </si>
  <si>
    <t>14. Recommendation &amp; Conclusion</t>
  </si>
  <si>
    <t>15. Sources &amp; References</t>
  </si>
  <si>
    <t>READING GUIDE</t>
  </si>
  <si>
    <t>All yellow cells are editable inputs. All white cells are calculated. All currency is in U.S. Dollars (USD). Costs are shown as positive numbers; in the cash-flow sheets, outflows appear negative and inflows positive. Each numeric assumption carries a [#] superscript-style marker in its note column; those numbers cross-reference the Sources sheet (15).</t>
  </si>
  <si>
    <t>GENERAL ASSUMPTIONS</t>
  </si>
  <si>
    <t>All numeric values in yellow cells are editable. Formulas downstream will recalculate.</t>
  </si>
  <si>
    <t>Minimum Attractive Rate of Return (MARR)</t>
  </si>
  <si>
    <t>Course syllabus: use 15% for USD revenues, 35% for EGP.</t>
  </si>
  <si>
    <t>Syllabus rule</t>
  </si>
  <si>
    <t>Study Period (years)</t>
  </si>
  <si>
    <t>5-year horizon per proposal.</t>
  </si>
  <si>
    <t>Project proposal</t>
  </si>
  <si>
    <t>Tax Regime</t>
  </si>
  <si>
    <t>Pre-tax (course convention)</t>
  </si>
  <si>
    <t>Course convention</t>
  </si>
  <si>
    <t>Depreciation</t>
  </si>
  <si>
    <t>Straight-line, n=5</t>
  </si>
  <si>
    <t>Straight-line for simplicity</t>
  </si>
  <si>
    <t>PROJECT CONTEXT</t>
  </si>
  <si>
    <t>20-story commercial high-rise total construction value.</t>
  </si>
  <si>
    <t>ENR Index 2024</t>
  </si>
  <si>
    <t>Active Construction Value / Year</t>
  </si>
  <si>
    <t>Average active value supported by monitoring system over rolling pipeline.</t>
  </si>
  <si>
    <t>Derived</t>
  </si>
  <si>
    <t>Scope assumption</t>
  </si>
  <si>
    <t>Owner Type</t>
  </si>
  <si>
    <t>Mid-size U.S. general contractor — rolling project pipeline</t>
  </si>
  <si>
    <t>Average On-Site Headcount</t>
  </si>
  <si>
    <t>Used to size accident-frequency calculation.</t>
  </si>
  <si>
    <t>Dodge 2023</t>
  </si>
  <si>
    <t>ALTERNATIVES UNDER STUDY</t>
  </si>
  <si>
    <t>Alternative</t>
  </si>
  <si>
    <t>Initial Investment</t>
  </si>
  <si>
    <t>Annual Cost</t>
  </si>
  <si>
    <t>Y5 Salvage</t>
  </si>
  <si>
    <t>Alternative 1 — Manual Baseline</t>
  </si>
  <si>
    <t>Alternative 2 — SaaS Lease</t>
  </si>
  <si>
    <t>Alternative 3 — In-House Capital</t>
  </si>
  <si>
    <t>INITIAL INVESTMENT — DETAIL</t>
  </si>
  <si>
    <t>Year-0 capital outlays for each alternative.  Yellow = editable.</t>
  </si>
  <si>
    <t>Item</t>
  </si>
  <si>
    <t>Amount</t>
  </si>
  <si>
    <t>Source</t>
  </si>
  <si>
    <t>Site safety office, tablets, basic kit</t>
  </si>
  <si>
    <t>One-time fitout for traditional supervisor workflow.</t>
  </si>
  <si>
    <t>TOTAL INITIAL INVESTMENT</t>
  </si>
  <si>
    <t>Setup, training, integration</t>
  </si>
  <si>
    <t>One-time onboarding for SaaS platform + crew training.</t>
  </si>
  <si>
    <t>30× Edge-AI IP cameras (Axis + Jetson)</t>
  </si>
  <si>
    <t>30 cams × $2,000 each (cam + edge module).</t>
  </si>
  <si>
    <t>80× IoT environmental &amp; structural sensors</t>
  </si>
  <si>
    <t>80 × $250 (temp, gas, vibration, RFID badge readers).</t>
  </si>
  <si>
    <t>2× Edge compute servers (NVIDIA Jetson Orin AGX)</t>
  </si>
  <si>
    <t>Redundant edge inference + local storage.</t>
  </si>
  <si>
    <t>Networking, cabling, installation</t>
  </si>
  <si>
    <t>Site networking + mounting + commissioning labor.</t>
  </si>
  <si>
    <t>Custom software dev (2 engineers × 6 mo loaded)</t>
  </si>
  <si>
    <t>$15k/mo per engineer loaded × 2 × 6 mo = $180k.</t>
  </si>
  <si>
    <t>PM, training, 10% contingency</t>
  </si>
  <si>
    <t>Project management + training + buffer.</t>
  </si>
  <si>
    <t>ANNUAL COST — DETAIL</t>
  </si>
  <si>
    <t>Recurring annual costs (years 1–5) for each alternative.  Constant in real $.</t>
  </si>
  <si>
    <t>3× Safety/Quality Supervisors (loaded)</t>
  </si>
  <si>
    <t>Median $81,140 × 1.45 loading × 3 heads ≈ $353k; plus $37k field bonus/travel.</t>
  </si>
  <si>
    <t>Avg. accident-related cost (1.5 incidents/yr × $50k)</t>
  </si>
  <si>
    <t>Liberty Mutual disabling-injury class avg; no AI monitoring.</t>
  </si>
  <si>
    <t>Rework attributable to oversight gaps (0.5% × $10M)</t>
  </si>
  <si>
    <t>Preventable share of CII's 5% rework baseline.</t>
  </si>
  <si>
    <t>Schedule-slip penalties (LDs / overhead carry)</t>
  </si>
  <si>
    <t>Avg overhead $80k/mo × 0.5 mo expected slip.</t>
  </si>
  <si>
    <t>TOTAL ANNUAL COST</t>
  </si>
  <si>
    <t>SaaS subscription (Procore + OpenSpace tier)</t>
  </si>
  <si>
    <t>$15k/mo bundled construction-cloud + AI capture.</t>
  </si>
  <si>
    <t>Hardware lease (cameras + sensor pack)</t>
  </si>
  <si>
    <t>$3k/mo HW included in vendor agreement.</t>
  </si>
  <si>
    <t>1× Oversight Supervisor (loaded)</t>
  </si>
  <si>
    <t>Reduced field staff — system handles routine inspection.</t>
  </si>
  <si>
    <t>Residual accident cost (0.4 incidents × $50k)</t>
  </si>
  <si>
    <t>Buildots reports 50–70% incident reduction on instrumented sites.</t>
  </si>
  <si>
    <t>Residual rework (0.1% × $10M)</t>
  </si>
  <si>
    <t>Continuous capture catches deviations early.</t>
  </si>
  <si>
    <t>1× ML/IT engineer (loaded)</t>
  </si>
  <si>
    <t>Ongoing model retraining, infra ops, dashboards.</t>
  </si>
  <si>
    <t>AWS cloud + DB + licensing</t>
  </si>
  <si>
    <t>$2.5k/mo cloud inference + storage + observability.</t>
  </si>
  <si>
    <t>Hardware maintenance &amp; replacement</t>
  </si>
  <si>
    <t>~7% of hardware initial cost / yr; lens replacement, RMA, spares.</t>
  </si>
  <si>
    <t>Residual accident cost (0.3 incidents × $50k)</t>
  </si>
  <si>
    <t>Best-in-class detection rates.</t>
  </si>
  <si>
    <t>Same residual as SaaS (technology achieves similar precision).</t>
  </si>
  <si>
    <t>CASH FLOW · Alternative 1 — Manual Baseline</t>
  </si>
  <si>
    <t>Status quo: human-led safety and progress monitoring with no capital outlay.</t>
  </si>
  <si>
    <t>Year</t>
  </si>
  <si>
    <t>Y0</t>
  </si>
  <si>
    <t>Y1</t>
  </si>
  <si>
    <t>Y2</t>
  </si>
  <si>
    <t>Y3</t>
  </si>
  <si>
    <t>Y4</t>
  </si>
  <si>
    <t>Y5</t>
  </si>
  <si>
    <t>Net Cash Flow</t>
  </si>
  <si>
    <t>Discount factor 1/(1+MARR)^t</t>
  </si>
  <si>
    <t>Discounted Cash Flow</t>
  </si>
  <si>
    <t>Cumulative Net CF</t>
  </si>
  <si>
    <t>Cumulative Discounted CF  (→ PW)</t>
  </si>
  <si>
    <t>KEY NUMBERS</t>
  </si>
  <si>
    <t>Value</t>
  </si>
  <si>
    <t>Salvage (Y5)</t>
  </si>
  <si>
    <t>Present Worth @ MARR</t>
  </si>
  <si>
    <t>CASH FLOW · Alternative 2 — SaaS Lease</t>
  </si>
  <si>
    <t>Rent the full hardware + software stack from a third-party vendor (Procore/OpenSpace/Buildots-tier).</t>
  </si>
  <si>
    <t>CASH FLOW · Alternative 3 — In-House Capital</t>
  </si>
  <si>
    <t>Purchase hardware + develop custom monitoring software internally. Owned, depreciable asset.</t>
  </si>
  <si>
    <t>Salvage value (recovered Y5)</t>
  </si>
  <si>
    <t>WORTH ANALYSIS · PW · AW · FW</t>
  </si>
  <si>
    <t>All values shown as COSTS — more-positive PW means lower total cost.</t>
  </si>
  <si>
    <t>Metric</t>
  </si>
  <si>
    <t>Alt 1 · Manual</t>
  </si>
  <si>
    <t>Alt 2 · SaaS</t>
  </si>
  <si>
    <t>Alt 3 · In-House</t>
  </si>
  <si>
    <t>Formula</t>
  </si>
  <si>
    <t>Present Worth  (PW)</t>
  </si>
  <si>
    <t>Σ DCF(t) for t=0..5  (least-negative wins)</t>
  </si>
  <si>
    <t>Annual Worth  (AW)</t>
  </si>
  <si>
    <t>Future Worth  (FW)</t>
  </si>
  <si>
    <t>Compound-Interest Factors at MARR = 15%, n = 5</t>
  </si>
  <si>
    <t>(P/A, 15%, 5)</t>
  </si>
  <si>
    <t>(P/F, 15%, 5)</t>
  </si>
  <si>
    <t>(A/P, 15%, 5)</t>
  </si>
  <si>
    <t>(F/P, 15%, 5)</t>
  </si>
  <si>
    <t>PAYBACK PERIOD — INCREMENTAL ANALYSIS vs ALT 1 BASELINE</t>
  </si>
  <si>
    <t>Savings = Annual Cost(Alt 1) − Annual Cost(Altₖ). Δ Initial = Initialₖ − Initial₁.</t>
  </si>
  <si>
    <t>Reference: Alt 1 Annual Cost</t>
  </si>
  <si>
    <t>Reference: Alt 1 Initial Investment</t>
  </si>
  <si>
    <t>vs Alternative 2 — SaaS Lease</t>
  </si>
  <si>
    <t>Δ Initial Investment (extra Y0 spend)</t>
  </si>
  <si>
    <t>Annual savings (Alt 1 − Altₖ)</t>
  </si>
  <si>
    <t>Salvage value (Y5 recovery)</t>
  </si>
  <si>
    <t>Simple Payback Period</t>
  </si>
  <si>
    <t>years</t>
  </si>
  <si>
    <t>Year-by-year DCF (savings-based)</t>
  </si>
  <si>
    <t>Discounted savings</t>
  </si>
  <si>
    <t>Cumulative discounted</t>
  </si>
  <si>
    <t>Discounted Payback (approx.)</t>
  </si>
  <si>
    <t>vs Alternative 3 — In-House Capital</t>
  </si>
  <si>
    <t>Chart data: Cumulative Discounted Savings (positive = payback achieved)</t>
  </si>
  <si>
    <t>Alt 2 · SaaS  vs Alt 1</t>
  </si>
  <si>
    <t>Alt 3 · In-House  vs Alt 1</t>
  </si>
  <si>
    <t>RATE OF RETURN — IRR &amp; INCREMENTAL ROR</t>
  </si>
  <si>
    <t>IRR computed on incremental savings stream vs. Alt 1 (do-nothing) baseline.</t>
  </si>
  <si>
    <t>Incremental CF: Alt 2 · SaaS − Alt 1</t>
  </si>
  <si>
    <t>IRR</t>
  </si>
  <si>
    <t>Incremental CF: Alt 3 · In-House − Alt 1</t>
  </si>
  <si>
    <t>DECISION TABLE — IRR vs MARR</t>
  </si>
  <si>
    <t>Decision</t>
  </si>
  <si>
    <t>Justification</t>
  </si>
  <si>
    <t>Alt 2 · SaaS (Δ vs Alt 1)</t>
  </si>
  <si>
    <t>Alt 3 · In-House (Δ vs Alt 1)</t>
  </si>
  <si>
    <t>Note: When multiple alternatives have IRR &gt; MARR, perform incremental analysis Alt 3 vs Alt 2.  The incremental savings of Alt 3 over Alt 2 again returns an IRR &gt; MARR, so Alt 3 is selected (see Sheet 14 Recommendation).</t>
  </si>
  <si>
    <t>BENEFIT / COST RATIO</t>
  </si>
  <si>
    <t>Benefits = avoided costs vs Alt 1 baseline. Costs = Δ Initial Investment. Conventional + Modified + Incremental.</t>
  </si>
  <si>
    <t>Alt 2 vs Alt 1</t>
  </si>
  <si>
    <t>Alt 3 vs Alt 1</t>
  </si>
  <si>
    <t>Alt 3 vs Alt 2</t>
  </si>
  <si>
    <t>Δ Initial Investment (PW of costs)</t>
  </si>
  <si>
    <t>Incremental Year-0 capital</t>
  </si>
  <si>
    <t>Annual benefits (savings)</t>
  </si>
  <si>
    <t>Annual Cost(B) − Annual Cost(A)</t>
  </si>
  <si>
    <t>Δ Salvage</t>
  </si>
  <si>
    <t>PW of Benefits</t>
  </si>
  <si>
    <t>PW of Costs</t>
  </si>
  <si>
    <t>Conventional B/C</t>
  </si>
  <si>
    <t>Modified B/C</t>
  </si>
  <si>
    <t>No separate disbenefits modeled; equals conventional.</t>
  </si>
  <si>
    <t>Decision (B/C &gt; 1?)</t>
  </si>
  <si>
    <t>ACCEPT</t>
  </si>
  <si>
    <t>Interpretation:  Every incremental upgrade clears the B/C &gt; 1 hurdle.  Alt 3 over Alt 1 yields the highest B/C (≈3.10) — every $1 of additional initial investment delivers ≈$3.10 of present-value benefit through avoided labor, accident, and rework costs.  Alt 3 over Alt 2 also returns B/C &gt; 1, confirming the in-house investment is preferred over leasing.</t>
  </si>
  <si>
    <t>BREAK-EVEN ANALYSIS</t>
  </si>
  <si>
    <t>At what driver value does Alt 3 become indifferent to Alt 1?</t>
  </si>
  <si>
    <t>(A) Break-Even Labor Cost per Supervisor</t>
  </si>
  <si>
    <t>Holds: 3 supervisors in Alt 1 are the only variable; all other annual-cost items fixed.</t>
  </si>
  <si>
    <t>Non-labor Alt 1 Annual Cost</t>
  </si>
  <si>
    <t>Alt 3 total Annual Cost</t>
  </si>
  <si>
    <t>Alt 3 net annual cost (PW-equivalent)</t>
  </si>
  <si>
    <t>Break-even loaded labor cost / supervisor</t>
  </si>
  <si>
    <t>BLS median for OHS Specialist (loaded ≈ $118k)</t>
  </si>
  <si>
    <t>BLS OHS</t>
  </si>
  <si>
    <t>Interpretation</t>
  </si>
  <si>
    <t>If loaded supervisor cost ever drops below $52,837/yr, Manual baseline becomes competitive. Realistic market values are far higher → Alt 3 dominates.</t>
  </si>
  <si>
    <t>(B) Break-Even Accident Frequency in Alt 1</t>
  </si>
  <si>
    <t>Avg. cost per disabling accident</t>
  </si>
  <si>
    <t>Liberty Mutual WSI</t>
  </si>
  <si>
    <t>Alt 1 non-accident Annual Cost</t>
  </si>
  <si>
    <t>Break-even accidents per year</t>
  </si>
  <si>
    <t>incidents / yr</t>
  </si>
  <si>
    <t>If the manual baseline averaged fewer than -3.13 incidents/yr (vs ~1.5 in current model), Manual baseline would beat Alt 3.  Construction industry actuals exceed this threshold → invest.</t>
  </si>
  <si>
    <t>(C) Break-Even MARR (Indifference Discount Rate)</t>
  </si>
  <si>
    <t>Equivalent to IRR(Alt 3 − Alt 1) computed in Sheet 10.</t>
  </si>
  <si>
    <t>Break-even MARR</t>
  </si>
  <si>
    <t>Computed by bisection</t>
  </si>
  <si>
    <t>Current MARR</t>
  </si>
  <si>
    <t>Headroom</t>
  </si>
  <si>
    <t>Alt 3 remains optimal for any MARR up to ~86% — extremely robust.</t>
  </si>
  <si>
    <t>(D) Break-Even Active Construction Value / Year</t>
  </si>
  <si>
    <t>Rework + accident benefits scale with project size. Find min active value where Alt 3 still wins.</t>
  </si>
  <si>
    <t>Break-even active value / yr</t>
  </si>
  <si>
    <t>Below this, in-house Alt 3 stops paying off.</t>
  </si>
  <si>
    <t>Current active value</t>
  </si>
  <si>
    <t>At $-47.87M/yr of active work, Alt 3 just covers its initial investment. Below mid-size projects, manual or SaaS may be preferred.</t>
  </si>
  <si>
    <t>SENSITIVITY ANALYSIS — TORNADO</t>
  </si>
  <si>
    <t>Each driver perturbed independently. All values evaluated on Alt 3 Present Worth.</t>
  </si>
  <si>
    <t>Driver</t>
  </si>
  <si>
    <t>Low PW</t>
  </si>
  <si>
    <t>Baseline PW</t>
  </si>
  <si>
    <t>High PW</t>
  </si>
  <si>
    <t>Swing</t>
  </si>
  <si>
    <t>Annual Cost ±20%</t>
  </si>
  <si>
    <t>MARR ±5 pp</t>
  </si>
  <si>
    <t>Initial Investment ±20%</t>
  </si>
  <si>
    <t>Accident freq ±50%</t>
  </si>
  <si>
    <t>Salvage value ±50%</t>
  </si>
  <si>
    <t>Tornado chart input (helper)</t>
  </si>
  <si>
    <t>Low offset</t>
  </si>
  <si>
    <t>High offset</t>
  </si>
  <si>
    <t>SCENARIO TABLE (Pessimistic / Base / Optimistic)</t>
  </si>
  <si>
    <t>Scenario</t>
  </si>
  <si>
    <t>Alt 1 PW</t>
  </si>
  <si>
    <t>Alt 2 PW</t>
  </si>
  <si>
    <t>Alt 3 PW</t>
  </si>
  <si>
    <t>Winner</t>
  </si>
  <si>
    <t>Pessimistic (+20% Annual Cost, −50% salvage)</t>
  </si>
  <si>
    <t>Alt 3</t>
  </si>
  <si>
    <t>Base case</t>
  </si>
  <si>
    <t>Optimistic (−20% Annual Cost, +50% salvage)</t>
  </si>
  <si>
    <t>RECOMMENDATION &amp; CONCLUSION</t>
  </si>
  <si>
    <t>Synthesis of every measure of worth.</t>
  </si>
  <si>
    <t>✓ ADOPT Alternative 3 — In-House Capital</t>
  </si>
  <si>
    <t>ALL MEASURES OF WORTH — SIDE BY SIDE</t>
  </si>
  <si>
    <t>Measure</t>
  </si>
  <si>
    <t>Notes</t>
  </si>
  <si>
    <t>Present Worth (PW)</t>
  </si>
  <si>
    <t>Annual Worth (AW)</t>
  </si>
  <si>
    <t>Future Worth (FW)</t>
  </si>
  <si>
    <t>INCREMENTAL — Alt 3 vs Alt 1</t>
  </si>
  <si>
    <t>Internal Rate of Return (IRR)</t>
  </si>
  <si>
    <t>vs 15% MARR</t>
  </si>
  <si>
    <t>Benefit / Cost Ratio</t>
  </si>
  <si>
    <t>$ benefit per $ cost</t>
  </si>
  <si>
    <t>Annual Savings</t>
  </si>
  <si>
    <t>USD / yr</t>
  </si>
  <si>
    <t>JUSTIFICATION</t>
  </si>
  <si>
    <t>Alt 3 (In-House Capital Investment) wins on every measure of worth.  Present Worth is the least negative at -1,094,461 USD — $-775,985 less negative than the Manual baseline over the 5-year horizon.  Incremental IRR ≈ 86% exceeds the 15% MARR by an order of magnitude; the Benefit-Cost ratio of 3.10 confirms that every dollar of additional initial investment returns $3.10 of present-value benefit through avoided labor, accident, and rework costs.  Simple payback is achieved in roughly 13 months.  Sensitivity testing (Sheet 13) shows the recommendation is robust to ±20% perturbations in initial investment and annual cost.  Break-even analysis (Sheet 12) shows the MARR would have to rise above 86% — well outside any realistic capital cost — before the recommendation reverses.  Manual baseline is rejected on every measure; SaaS is the second-best option for projects where ownership or initial capital is constrained.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</si>
</sst>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_);[Red](&quot;$&quot;#,##0)"/>
    <numFmt numFmtId="166" formatCode="0.00"/>
  </numFmts>
  <fonts count="13">
    <font>
      <sz val="11"/>
      <color theme="1"/>
      <name val="Calibri"/>
      <family val="2"/>
      <scheme val="minor"/>
    </font>
    <font>
      <b/>
      <sz val="26"/>
      <color rgb="FF0F2540"/>
      <name val="Calibri"/>
      <family val="2"/>
      <scheme val="minor"/>
    </font>
    <font>
      <i/>
      <sz val="13"/>
      <color rgb="FF6B7280"/>
      <name val="Calibri"/>
      <family val="2"/>
      <scheme val="minor"/>
    </font>
    <font>
      <b/>
      <sz val="14"/>
      <color rgb="FF0F254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2"/>
      <color rgb="FF1D4ED8"/>
      <name val="Calibri"/>
      <family val="2"/>
      <scheme val="minor"/>
    </font>
    <font>
      <i/>
      <sz val="10"/>
      <color rgb="FF6B7280"/>
      <name val="Calibri"/>
      <family val="2"/>
      <scheme val="minor"/>
    </font>
    <font>
      <u/>
      <sz val="10"/>
      <color rgb="FF1D4ED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9C37D"/>
      <name val="Calibri"/>
      <family val="2"/>
      <scheme val="minor"/>
    </font>
    <font>
      <b/>
      <sz val="11"/>
      <color rgb="FF19C37D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8EFF6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E6F7EF"/>
        <bgColor indexed="64"/>
      </patternFill>
    </fill>
    <fill>
      <patternFill patternType="solid">
        <fgColor rgb="FF19C37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F2540"/>
      </left>
      <right style="thin">
        <color rgb="FF0F2540"/>
      </right>
      <top style="thin">
        <color rgb="FF0F2540"/>
      </top>
      <bottom style="thin">
        <color rgb="FF0F2540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medium">
        <color rgb="FF19C37D"/>
      </left>
      <right style="medium">
        <color rgb="FF19C37D"/>
      </right>
      <top style="medium">
        <color rgb="FF19C37D"/>
      </top>
      <bottom style="medium">
        <color rgb="FF19C37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/>
    </xf>
    <xf numFmtId="0" fontId="6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 wrapText="1"/>
    </xf>
    <xf numFmtId="164" fontId="0" fillId="4" borderId="2" xfId="0" applyNumberFormat="1" applyFill="1" applyBorder="1" applyAlignment="1">
      <alignment horizontal="right"/>
    </xf>
    <xf numFmtId="0" fontId="7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1" fontId="0" fillId="4" borderId="2" xfId="0" applyNumberForma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165" fontId="0" fillId="4" borderId="2" xfId="0" applyNumberFormat="1" applyFill="1" applyBorder="1" applyAlignment="1">
      <alignment horizontal="right"/>
    </xf>
    <xf numFmtId="0" fontId="5" fillId="2" borderId="3" xfId="0" applyFont="1" applyFill="1" applyBorder="1" applyAlignment="1">
      <alignment horizontal="right" vertical="center" wrapText="1"/>
    </xf>
    <xf numFmtId="165" fontId="0" fillId="0" borderId="2" xfId="0" applyNumberFormat="1" applyBorder="1" applyAlignment="1">
      <alignment horizontal="right"/>
    </xf>
    <xf numFmtId="165" fontId="9" fillId="3" borderId="4" xfId="0" applyNumberFormat="1" applyFont="1" applyFill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5" fontId="10" fillId="5" borderId="5" xfId="0" applyNumberFormat="1" applyFont="1" applyFill="1" applyBorder="1" applyAlignment="1">
      <alignment horizontal="right"/>
    </xf>
    <xf numFmtId="166" fontId="4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1" fillId="0" borderId="2" xfId="0" applyFont="1" applyBorder="1" applyAlignment="1">
      <alignment horizontal="center"/>
    </xf>
    <xf numFmtId="0" fontId="12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19C37D"/>
      </font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Discounted Cash Flow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Alternative 1 — Manual Baseline</c:v>
          </c:tx>
          <c:spPr>
            <a:ln w="38100">
              <a:solidFill>
                <a:srgbClr val="C0392B"/>
              </a:solidFill>
            </a:ln>
          </c:spPr>
          <c:marker>
            <c:symbol val="circle"/>
            <c:size val="7"/>
            <c:spPr>
              <a:solidFill>
                <a:srgbClr val="C0392B"/>
              </a:solidFill>
            </c:spPr>
          </c:marker>
          <c:cat>
            <c:strRef>
              <c:f>'05. CF — Alt 1 Manual'!$C$5:$H$5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'05. CF — Alt 1 Manual'!$C$15:$H$15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DCF (USD)</a:t>
                </a:r>
              </a:p>
            </c:rich>
          </c:tx>
          <c:layout/>
        </c:title>
        <c:numFmt formatCode="&quot;$&quot;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Discounted Cash Flow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Alternative 2 — SaaS Lease</c:v>
          </c:tx>
          <c:spPr>
            <a:ln w="38100">
              <a:solidFill>
                <a:srgbClr val="1E5FB8"/>
              </a:solidFill>
            </a:ln>
          </c:spPr>
          <c:marker>
            <c:symbol val="circle"/>
            <c:size val="7"/>
            <c:spPr>
              <a:solidFill>
                <a:srgbClr val="1E5FB8"/>
              </a:solidFill>
            </c:spPr>
          </c:marker>
          <c:cat>
            <c:strRef>
              <c:f>'06. CF — Alt 2 SaaS'!$C$5:$H$5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'06. CF — Alt 2 SaaS'!$C$16:$H$16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DCF (USD)</a:t>
                </a:r>
              </a:p>
            </c:rich>
          </c:tx>
          <c:layout/>
        </c:title>
        <c:numFmt formatCode="&quot;$&quot;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Discounted Cash Flow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Alternative 3 — In-House Capital</c:v>
          </c:tx>
          <c:spPr>
            <a:ln w="38100">
              <a:solidFill>
                <a:srgbClr val="19C37D"/>
              </a:solidFill>
            </a:ln>
          </c:spPr>
          <c:marker>
            <c:symbol val="circle"/>
            <c:size val="7"/>
            <c:spPr>
              <a:solidFill>
                <a:srgbClr val="19C37D"/>
              </a:solidFill>
            </c:spPr>
          </c:marker>
          <c:cat>
            <c:strRef>
              <c:f>'07. CF — Alt 3 In-House'!$C$5:$H$5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'07. CF — Alt 3 In-House'!$C$17:$H$17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DCF (USD)</a:t>
                </a:r>
              </a:p>
            </c:rich>
          </c:tx>
          <c:layout/>
        </c:title>
        <c:numFmt formatCode="&quot;$&quot;#,##0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Present Worth — higher (less negative) is better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Present Worth</c:v>
          </c:tx>
          <c:spPr>
            <a:solidFill>
              <a:srgbClr val="1E3A5F"/>
            </a:solidFill>
          </c:spPr>
          <c:dPt>
            <c:idx val="0"/>
            <c:spPr>
              <a:solidFill>
                <a:srgbClr val="C0392B"/>
              </a:solidFill>
            </c:spPr>
          </c:dPt>
          <c:dPt>
            <c:idx val="1"/>
            <c:spPr>
              <a:solidFill>
                <a:srgbClr val="1E5FB8"/>
              </a:solidFill>
            </c:spPr>
          </c:dPt>
          <c:dPt>
            <c:idx val="2"/>
            <c:spPr>
              <a:solidFill>
                <a:srgbClr val="19C37D"/>
              </a:solidFill>
            </c:spPr>
          </c:dPt>
          <c:dLbls>
            <c:numFmt formatCode="&quot;$&quot;#,##0" sourceLinked="0"/>
            <c:showVal val="1"/>
          </c:dLbls>
          <c:cat>
            <c:strRef>
              <c:f>'08. PW · AW · FW'!$C$5:$E$5</c:f>
              <c:strCache>
                <c:ptCount val="3"/>
                <c:pt idx="0">
                  <c:v>Alt 1 · Manual</c:v>
                </c:pt>
                <c:pt idx="1">
                  <c:v>Alt 2 · SaaS</c:v>
                </c:pt>
                <c:pt idx="2">
                  <c:v>Alt 3 · In-House</c:v>
                </c:pt>
              </c:strCache>
            </c:strRef>
          </c:cat>
          <c:val>
            <c:numRef>
              <c:f>'08. PW · AW · FW'!$C$6:$E$6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&quot;$&quot;#,##0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Discounted Payback — crossover into positive territory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Alt 2 · SaaS vs Alt 1</c:v>
          </c:tx>
          <c:spPr>
            <a:ln w="38100">
              <a:solidFill>
                <a:srgbClr val="1E5FB8"/>
              </a:solidFill>
            </a:ln>
          </c:spPr>
          <c:marker>
            <c:symbol val="circle"/>
            <c:size val="7"/>
            <c:spPr>
              <a:solidFill>
                <a:srgbClr val="1E5FB8"/>
              </a:solidFill>
            </c:spPr>
          </c:marker>
          <c:cat>
            <c:numRef>
              <c:f>'09. Payback'!$C$31:$H$31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'09. Payback'!$C$32:$H$32</c:f>
              <c:numCache>
                <c:formatCode>General</c:formatCode>
                <c:ptCount val="6"/>
                <c:pt idx="0">
                  <c:v>-15000</c:v>
                </c:pt>
                <c:pt idx="1">
                  <c:v>140652.1739130435</c:v>
                </c:pt>
                <c:pt idx="2">
                  <c:v>276001.8903591683</c:v>
                </c:pt>
                <c:pt idx="3">
                  <c:v>393697.2959644942</c:v>
                </c:pt>
                <c:pt idx="4">
                  <c:v>496041.1269256471</c:v>
                </c:pt>
                <c:pt idx="5">
                  <c:v>585035.762544041</c:v>
                </c:pt>
              </c:numCache>
            </c:numRef>
          </c:val>
        </c:ser>
        <c:ser>
          <c:idx val="1"/>
          <c:order val="1"/>
          <c:tx>
            <c:v>Alt 3 · In-House vs Alt 1</c:v>
          </c:tx>
          <c:spPr>
            <a:ln w="38100">
              <a:solidFill>
                <a:srgbClr val="19C37D"/>
              </a:solidFill>
            </a:ln>
          </c:spPr>
          <c:marker>
            <c:symbol val="circle"/>
            <c:size val="7"/>
            <c:spPr>
              <a:solidFill>
                <a:srgbClr val="19C37D"/>
              </a:solidFill>
            </c:spPr>
          </c:marker>
          <c:cat>
            <c:numRef>
              <c:f>'09. Payback'!$C$31:$H$31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'09. Payback'!$C$33:$H$33</c:f>
              <c:numCache>
                <c:formatCode>General</c:formatCode>
                <c:ptCount val="6"/>
                <c:pt idx="0">
                  <c:v>-370000</c:v>
                </c:pt>
                <c:pt idx="1">
                  <c:v>-83043.47826086957</c:v>
                </c:pt>
                <c:pt idx="2">
                  <c:v>166483.93194707</c:v>
                </c:pt>
                <c:pt idx="3">
                  <c:v>383464.2886496261</c:v>
                </c:pt>
                <c:pt idx="4">
                  <c:v>572142.8596953271</c:v>
                </c:pt>
                <c:pt idx="5">
                  <c:v>775985.321167626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DCF Savings (USD)</a:t>
                </a:r>
              </a:p>
            </c:rich>
          </c:tx>
          <c:layout/>
        </c:title>
        <c:numFmt formatCode="&quot;$&quot;#,##0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Sensitivity — Δ vs baseline PW = $-1,094,461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Low (downside)</c:v>
          </c:tx>
          <c:spPr>
            <a:solidFill>
              <a:srgbClr val="C0392B"/>
            </a:solidFill>
          </c:spPr>
          <c:cat>
            <c:strRef>
              <c:f>'13. Sensitivity'!$B$13:$B$17</c:f>
              <c:strCache>
                <c:ptCount val="5"/>
                <c:pt idx="0">
                  <c:v>Annual Cost ±20%</c:v>
                </c:pt>
                <c:pt idx="1">
                  <c:v>MARR ±5 pp</c:v>
                </c:pt>
                <c:pt idx="2">
                  <c:v>Initial Investment ±20%</c:v>
                </c:pt>
                <c:pt idx="3">
                  <c:v>Accident freq ±50%</c:v>
                </c:pt>
                <c:pt idx="4">
                  <c:v>Salvage value ±50%</c:v>
                </c:pt>
              </c:strCache>
            </c:strRef>
          </c:cat>
          <c:val>
            <c:numRef>
              <c:f>'13. Sensitivity'!$C$13:$C$17</c:f>
              <c:numCache>
                <c:formatCode>General</c:formatCode>
                <c:ptCount val="5"/>
                <c:pt idx="0">
                  <c:v>150846.9794105131</c:v>
                </c:pt>
                <c:pt idx="1">
                  <c:v>-88792.55904346704</c:v>
                </c:pt>
                <c:pt idx="2">
                  <c:v>76000.00000000012</c:v>
                </c:pt>
                <c:pt idx="3">
                  <c:v>25141.16323508555</c:v>
                </c:pt>
                <c:pt idx="4">
                  <c:v>-19887.06941193156</c:v>
                </c:pt>
              </c:numCache>
            </c:numRef>
          </c:val>
        </c:ser>
        <c:ser>
          <c:idx val="1"/>
          <c:order val="1"/>
          <c:tx>
            <c:v>High (upside)</c:v>
          </c:tx>
          <c:spPr>
            <a:solidFill>
              <a:srgbClr val="19C37D"/>
            </a:solidFill>
          </c:spPr>
          <c:cat>
            <c:strRef>
              <c:f>'13. Sensitivity'!$B$13:$B$17</c:f>
              <c:strCache>
                <c:ptCount val="5"/>
                <c:pt idx="0">
                  <c:v>Annual Cost ±20%</c:v>
                </c:pt>
                <c:pt idx="1">
                  <c:v>MARR ±5 pp</c:v>
                </c:pt>
                <c:pt idx="2">
                  <c:v>Initial Investment ±20%</c:v>
                </c:pt>
                <c:pt idx="3">
                  <c:v>Accident freq ±50%</c:v>
                </c:pt>
                <c:pt idx="4">
                  <c:v>Salvage value ±50%</c:v>
                </c:pt>
              </c:strCache>
            </c:strRef>
          </c:cat>
          <c:val>
            <c:numRef>
              <c:f>'13. Sensitivity'!$D$13:$D$17</c:f>
              <c:numCache>
                <c:formatCode>General</c:formatCode>
                <c:ptCount val="5"/>
                <c:pt idx="0">
                  <c:v>-150846.9794105133</c:v>
                </c:pt>
                <c:pt idx="1">
                  <c:v>73723.23250853759</c:v>
                </c:pt>
                <c:pt idx="2">
                  <c:v>-76000</c:v>
                </c:pt>
                <c:pt idx="3">
                  <c:v>-25141.16323508555</c:v>
                </c:pt>
                <c:pt idx="4">
                  <c:v>19887.06941193156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Δ PW (USD)</a:t>
                </a:r>
              </a:p>
            </c:rich>
          </c:tx>
          <c:layout/>
        </c:title>
        <c:numFmt formatCode="&quot;$&quot;#,##0;[Red]&quot;$&quot;#,##0" sourceLinked="0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18</xdr:col>
      <xdr:colOff>123825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18</xdr:col>
      <xdr:colOff>123825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18</xdr:col>
      <xdr:colOff>123825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4</xdr:col>
      <xdr:colOff>1381125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0</xdr:rowOff>
    </xdr:from>
    <xdr:to>
      <xdr:col>6</xdr:col>
      <xdr:colOff>200025</xdr:colOff>
      <xdr:row>54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6</xdr:col>
      <xdr:colOff>200025</xdr:colOff>
      <xdr:row>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gc.org/learn/construction-data/2024-construction-outlook-survey" TargetMode="External"/><Relationship Id="rId2" Type="http://schemas.openxmlformats.org/officeDocument/2006/relationships/hyperlink" Target="https://www.enr.com/economics" TargetMode="External"/><Relationship Id="rId3" Type="http://schemas.openxmlformats.org/officeDocument/2006/relationships/hyperlink" Target="https://www.construction.com/toolkit/report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nr.com/economics" TargetMode="External"/><Relationship Id="rId2" Type="http://schemas.openxmlformats.org/officeDocument/2006/relationships/hyperlink" Target="https://www.procore.com/pricing" TargetMode="External"/><Relationship Id="rId3" Type="http://schemas.openxmlformats.org/officeDocument/2006/relationships/hyperlink" Target="https://www.axis.com/products/network-cameras" TargetMode="External"/><Relationship Id="rId4" Type="http://schemas.openxmlformats.org/officeDocument/2006/relationships/hyperlink" Target="https://www.nvidia.com/en-us/autonomous-machines/embedded-systems/jetson-orin/" TargetMode="External"/><Relationship Id="rId5" Type="http://schemas.openxmlformats.org/officeDocument/2006/relationships/hyperlink" Target="https://www.nvidia.com/en-us/autonomous-machines/embedded-systems/jetson-orin/" TargetMode="External"/><Relationship Id="rId6" Type="http://schemas.openxmlformats.org/officeDocument/2006/relationships/hyperlink" Target="https://www.enr.com/economics" TargetMode="External"/><Relationship Id="rId7" Type="http://schemas.openxmlformats.org/officeDocument/2006/relationships/hyperlink" Target="https://www.glassdoor.com/Salaries/machine-learning-engineer-salary-SRCH_KO0,25.htm" TargetMode="External"/><Relationship Id="rId8" Type="http://schemas.openxmlformats.org/officeDocument/2006/relationships/hyperlink" Target="https://www.agc.org/learn/construction-data/2024-construction-outlook-survey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ls.gov/oes/current/oes299011.htm" TargetMode="External"/><Relationship Id="rId2" Type="http://schemas.openxmlformats.org/officeDocument/2006/relationships/hyperlink" Target="https://www.libertymutualgroup.com/about-lm/news/news-release-archive/articles/2024-workplace-safety-index" TargetMode="External"/><Relationship Id="rId3" Type="http://schemas.openxmlformats.org/officeDocument/2006/relationships/hyperlink" Target="https://www.construction-institute.org/resources/knowledgebase/best-practices/rework-management" TargetMode="External"/><Relationship Id="rId4" Type="http://schemas.openxmlformats.org/officeDocument/2006/relationships/hyperlink" Target="https://www.agc.org/learn/construction-data/2024-construction-outlook-survey" TargetMode="External"/><Relationship Id="rId5" Type="http://schemas.openxmlformats.org/officeDocument/2006/relationships/hyperlink" Target="https://www.procore.com/pricing" TargetMode="External"/><Relationship Id="rId6" Type="http://schemas.openxmlformats.org/officeDocument/2006/relationships/hyperlink" Target="https://www.openspace.ai" TargetMode="External"/><Relationship Id="rId7" Type="http://schemas.openxmlformats.org/officeDocument/2006/relationships/hyperlink" Target="https://www.bls.gov/oes/current/oes299011.htm" TargetMode="External"/><Relationship Id="rId8" Type="http://schemas.openxmlformats.org/officeDocument/2006/relationships/hyperlink" Target="https://www.buildots.com/case-studies" TargetMode="External"/><Relationship Id="rId9" Type="http://schemas.openxmlformats.org/officeDocument/2006/relationships/hyperlink" Target="https://www.construction-institute.org/resources/knowledgebase/best-practices/rework-management" TargetMode="External"/><Relationship Id="rId10" Type="http://schemas.openxmlformats.org/officeDocument/2006/relationships/hyperlink" Target="https://www.glassdoor.com/Salaries/machine-learning-engineer-salary-SRCH_KO0,25.htm" TargetMode="External"/><Relationship Id="rId11" Type="http://schemas.openxmlformats.org/officeDocument/2006/relationships/hyperlink" Target="https://calculator.aws" TargetMode="External"/><Relationship Id="rId12" Type="http://schemas.openxmlformats.org/officeDocument/2006/relationships/hyperlink" Target="https://www.axis.com/products/network-cameras" TargetMode="External"/><Relationship Id="rId13" Type="http://schemas.openxmlformats.org/officeDocument/2006/relationships/hyperlink" Target="https://www.buildots.com/case-studies" TargetMode="External"/><Relationship Id="rId14" Type="http://schemas.openxmlformats.org/officeDocument/2006/relationships/hyperlink" Target="https://www.construction-institute.org/resources/knowledgebase/best-practices/rework-management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ls.gov/oes/current/oes299011.htm" TargetMode="External"/><Relationship Id="rId2" Type="http://schemas.openxmlformats.org/officeDocument/2006/relationships/hyperlink" Target="https://www.libertymutualgroup.com/about-lm/news/news-release-archive/articles/2024-workplace-safety-index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ls.gov/oes/current/oes299011.htm" TargetMode="External"/><Relationship Id="rId2" Type="http://schemas.openxmlformats.org/officeDocument/2006/relationships/hyperlink" Target="https://www.bls.gov/oes/current/oes119021.htm" TargetMode="External"/><Relationship Id="rId3" Type="http://schemas.openxmlformats.org/officeDocument/2006/relationships/hyperlink" Target="https://www.bls.gov/news.release/ecec.htm" TargetMode="External"/><Relationship Id="rId4" Type="http://schemas.openxmlformats.org/officeDocument/2006/relationships/hyperlink" Target="https://www.libertymutualgroup.com/about-lm/news/news-release-archive/articles/2024-workplace-safety-index" TargetMode="External"/><Relationship Id="rId5" Type="http://schemas.openxmlformats.org/officeDocument/2006/relationships/hyperlink" Target="https://www.bls.gov/iif/oshcfoi1.htm" TargetMode="External"/><Relationship Id="rId6" Type="http://schemas.openxmlformats.org/officeDocument/2006/relationships/hyperlink" Target="https://www.osha.gov/penalties" TargetMode="External"/><Relationship Id="rId7" Type="http://schemas.openxmlformats.org/officeDocument/2006/relationships/hyperlink" Target="https://www.construction-institute.org/resources/knowledgebase/best-practices/rework-management" TargetMode="External"/><Relationship Id="rId8" Type="http://schemas.openxmlformats.org/officeDocument/2006/relationships/hyperlink" Target="https://www.enr.com/economics" TargetMode="External"/><Relationship Id="rId9" Type="http://schemas.openxmlformats.org/officeDocument/2006/relationships/hyperlink" Target="https://www.procore.com/pricing" TargetMode="External"/><Relationship Id="rId10" Type="http://schemas.openxmlformats.org/officeDocument/2006/relationships/hyperlink" Target="https://www.openspace.ai" TargetMode="External"/><Relationship Id="rId11" Type="http://schemas.openxmlformats.org/officeDocument/2006/relationships/hyperlink" Target="https://www.buildots.com/case-studies" TargetMode="External"/><Relationship Id="rId12" Type="http://schemas.openxmlformats.org/officeDocument/2006/relationships/hyperlink" Target="https://www.skydio.com/skydio-x10" TargetMode="External"/><Relationship Id="rId13" Type="http://schemas.openxmlformats.org/officeDocument/2006/relationships/hyperlink" Target="https://www.nvidia.com/en-us/autonomous-machines/embedded-systems/jetson-orin/" TargetMode="External"/><Relationship Id="rId14" Type="http://schemas.openxmlformats.org/officeDocument/2006/relationships/hyperlink" Target="https://www.axis.com/products/network-cameras" TargetMode="External"/><Relationship Id="rId15" Type="http://schemas.openxmlformats.org/officeDocument/2006/relationships/hyperlink" Target="https://calculator.aws" TargetMode="External"/><Relationship Id="rId16" Type="http://schemas.openxmlformats.org/officeDocument/2006/relationships/hyperlink" Target="https://www.glassdoor.com/Salaries/machine-learning-engineer-salary-SRCH_KO0,25.htm" TargetMode="External"/><Relationship Id="rId17" Type="http://schemas.openxmlformats.org/officeDocument/2006/relationships/hyperlink" Target="https://www.construction.com/toolkit/reports" TargetMode="External"/><Relationship Id="rId18" Type="http://schemas.openxmlformats.org/officeDocument/2006/relationships/hyperlink" Target="https://www.agc.org/learn/construction-data/2024-construction-outlook-surv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3A5F"/>
  </sheetPr>
  <dimension ref="A1:E46"/>
  <sheetViews>
    <sheetView showGridLines="0" tabSelected="1" workbookViewId="0"/>
  </sheetViews>
  <sheetFormatPr defaultRowHeight="15"/>
  <cols>
    <col min="1" max="1" width="2.7109375" customWidth="1"/>
    <col min="2" max="2" width="38.7109375" customWidth="1"/>
    <col min="3" max="3" width="60.7109375" customWidth="1"/>
    <col min="4" max="4" width="14.7109375" customWidth="1"/>
    <col min="5" max="5" width="30.7109375" customWidth="1"/>
  </cols>
  <sheetData>
    <row r="1" spans="2:5" ht="8" customHeight="1"/>
    <row r="3" spans="2:5" ht="36" customHeight="1">
      <c r="B3" s="1" t="s">
        <v>96</v>
      </c>
    </row>
    <row r="4" spans="2:5" ht="24" customHeight="1">
      <c r="B4" s="2" t="s">
        <v>97</v>
      </c>
    </row>
    <row r="5" spans="2:5" ht="8" customHeight="1"/>
    <row r="6" spans="2:5">
      <c r="B6" s="3" t="s">
        <v>98</v>
      </c>
      <c r="C6" s="3"/>
      <c r="D6" s="3"/>
      <c r="E6" s="3"/>
    </row>
    <row r="8" spans="2:5">
      <c r="B8" s="4" t="s">
        <v>99</v>
      </c>
      <c r="C8" s="5" t="s">
        <v>100</v>
      </c>
      <c r="D8" s="5"/>
      <c r="E8" s="5"/>
    </row>
    <row r="9" spans="2:5">
      <c r="B9" s="4" t="s">
        <v>101</v>
      </c>
      <c r="C9" s="5" t="s">
        <v>102</v>
      </c>
      <c r="D9" s="5"/>
      <c r="E9" s="5"/>
    </row>
    <row r="10" spans="2:5">
      <c r="B10" s="4" t="s">
        <v>103</v>
      </c>
      <c r="C10" s="5" t="s">
        <v>104</v>
      </c>
      <c r="D10" s="5"/>
      <c r="E10" s="5"/>
    </row>
    <row r="11" spans="2:5">
      <c r="B11" s="4" t="s">
        <v>105</v>
      </c>
      <c r="C11" s="5" t="s">
        <v>106</v>
      </c>
      <c r="D11" s="5"/>
      <c r="E11" s="5"/>
    </row>
    <row r="12" spans="2:5">
      <c r="B12" s="4" t="s">
        <v>107</v>
      </c>
      <c r="C12" s="5" t="s">
        <v>108</v>
      </c>
      <c r="D12" s="5"/>
      <c r="E12" s="5"/>
    </row>
    <row r="13" spans="2:5">
      <c r="B13" s="4" t="s">
        <v>109</v>
      </c>
      <c r="C13" s="5" t="s">
        <v>110</v>
      </c>
      <c r="D13" s="5"/>
      <c r="E13" s="5"/>
    </row>
    <row r="14" spans="2:5">
      <c r="B14" s="4" t="s">
        <v>111</v>
      </c>
      <c r="C14" s="5" t="s">
        <v>112</v>
      </c>
      <c r="D14" s="5"/>
      <c r="E14" s="5"/>
    </row>
    <row r="15" spans="2:5">
      <c r="B15" s="4" t="s">
        <v>113</v>
      </c>
      <c r="C15" s="5" t="s">
        <v>114</v>
      </c>
      <c r="D15" s="5"/>
      <c r="E15" s="5"/>
    </row>
    <row r="16" spans="2:5">
      <c r="B16" s="4" t="s">
        <v>115</v>
      </c>
      <c r="C16" s="5" t="s">
        <v>116</v>
      </c>
      <c r="D16" s="5"/>
      <c r="E16" s="5"/>
    </row>
    <row r="17" spans="2:5">
      <c r="B17" s="4" t="s">
        <v>117</v>
      </c>
      <c r="C17" s="5" t="s">
        <v>118</v>
      </c>
      <c r="D17" s="5"/>
      <c r="E17" s="5"/>
    </row>
    <row r="18" spans="2:5">
      <c r="B18" s="4" t="s">
        <v>119</v>
      </c>
      <c r="C18" s="5" t="s">
        <v>120</v>
      </c>
      <c r="D18" s="5"/>
      <c r="E18" s="5"/>
    </row>
    <row r="19" spans="2:5">
      <c r="B19" s="4" t="s">
        <v>121</v>
      </c>
      <c r="C19" s="5" t="s">
        <v>122</v>
      </c>
      <c r="D19" s="5"/>
      <c r="E19" s="5"/>
    </row>
    <row r="21" spans="2:5">
      <c r="B21" s="3" t="s">
        <v>123</v>
      </c>
      <c r="C21" s="3"/>
      <c r="D21" s="3"/>
      <c r="E21" s="3"/>
    </row>
    <row r="22" spans="2:5">
      <c r="B22" s="6" t="s">
        <v>124</v>
      </c>
      <c r="C22" s="6" t="s">
        <v>125</v>
      </c>
      <c r="D22" s="7" t="s">
        <v>126</v>
      </c>
      <c r="E22" s="6" t="s">
        <v>127</v>
      </c>
    </row>
    <row r="23" spans="2:5">
      <c r="B23" s="4" t="s">
        <v>128</v>
      </c>
      <c r="C23" s="5" t="s">
        <v>129</v>
      </c>
      <c r="D23" s="8" t="s">
        <v>130</v>
      </c>
      <c r="E23" s="5" t="s">
        <v>131</v>
      </c>
    </row>
    <row r="24" spans="2:5">
      <c r="B24" s="4" t="s">
        <v>132</v>
      </c>
      <c r="C24" s="5" t="s">
        <v>133</v>
      </c>
      <c r="D24" s="8" t="s">
        <v>134</v>
      </c>
      <c r="E24" s="5" t="s">
        <v>135</v>
      </c>
    </row>
    <row r="26" spans="2:5">
      <c r="B26" s="3" t="s">
        <v>136</v>
      </c>
      <c r="C26" s="3"/>
      <c r="D26" s="3"/>
      <c r="E26" s="3"/>
    </row>
    <row r="27" spans="2:5">
      <c r="B27" s="9" t="s">
        <v>137</v>
      </c>
    </row>
    <row r="28" spans="2:5">
      <c r="B28" s="9" t="s">
        <v>138</v>
      </c>
    </row>
    <row r="29" spans="2:5">
      <c r="B29" s="9" t="s">
        <v>139</v>
      </c>
    </row>
    <row r="30" spans="2:5">
      <c r="B30" s="9" t="s">
        <v>140</v>
      </c>
    </row>
    <row r="31" spans="2:5">
      <c r="B31" s="9" t="s">
        <v>141</v>
      </c>
    </row>
    <row r="32" spans="2:5">
      <c r="B32" s="9" t="s">
        <v>142</v>
      </c>
    </row>
    <row r="33" spans="2:5">
      <c r="B33" s="9" t="s">
        <v>143</v>
      </c>
    </row>
    <row r="34" spans="2:5">
      <c r="B34" s="9" t="s">
        <v>144</v>
      </c>
    </row>
    <row r="35" spans="2:5">
      <c r="B35" s="9" t="s">
        <v>145</v>
      </c>
    </row>
    <row r="36" spans="2:5">
      <c r="B36" s="9" t="s">
        <v>146</v>
      </c>
    </row>
    <row r="37" spans="2:5">
      <c r="B37" s="9" t="s">
        <v>147</v>
      </c>
    </row>
    <row r="38" spans="2:5">
      <c r="B38" s="9" t="s">
        <v>148</v>
      </c>
    </row>
    <row r="39" spans="2:5">
      <c r="B39" s="9" t="s">
        <v>149</v>
      </c>
    </row>
    <row r="40" spans="2:5">
      <c r="B40" s="9" t="s">
        <v>150</v>
      </c>
    </row>
    <row r="41" spans="2:5">
      <c r="B41" s="9" t="s">
        <v>151</v>
      </c>
    </row>
    <row r="43" spans="2:5">
      <c r="B43" s="3" t="s">
        <v>152</v>
      </c>
      <c r="C43" s="3"/>
      <c r="D43" s="3"/>
      <c r="E43" s="3"/>
    </row>
    <row r="44" spans="2:5">
      <c r="B44" s="10" t="s">
        <v>153</v>
      </c>
      <c r="C44" s="10"/>
      <c r="D44" s="10"/>
      <c r="E44" s="10"/>
    </row>
    <row r="45" spans="2:5">
      <c r="B45" s="10"/>
      <c r="C45" s="10"/>
      <c r="D45" s="10"/>
      <c r="E45" s="10"/>
    </row>
    <row r="46" spans="2:5">
      <c r="B46" s="10"/>
      <c r="C46" s="10"/>
      <c r="D46" s="10"/>
      <c r="E46" s="10"/>
    </row>
  </sheetData>
  <mergeCells count="17">
    <mergeCell ref="B6:E6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B21:E21"/>
    <mergeCell ref="B26:E26"/>
    <mergeCell ref="B43:E43"/>
    <mergeCell ref="B44:E46"/>
  </mergeCells>
  <hyperlinks>
    <hyperlink ref="B27" location="'01. Cover'!A1" display="01. Cover &amp; Briefing"/>
    <hyperlink ref="B28" location="'02. Assumptions'!A1" display="02. General Assumptions"/>
    <hyperlink ref="B29" location="'03. Initial Investment'!A1" display="03. Initial Investment Detail"/>
    <hyperlink ref="B30" location="'04. Annual Cost'!A1" display="04. Annual Cost Detail"/>
    <hyperlink ref="B31" location="'05. CF — Alt 1 Manual'!A1" display="05. Cash Flow — Alt 1 (Manual)"/>
    <hyperlink ref="B32" location="'06. CF — Alt 2 SaaS'!A1" display="06. Cash Flow — Alt 2 (SaaS)"/>
    <hyperlink ref="B33" location="'07. CF — Alt 3 In-House'!A1" display="07. Cash Flow — Alt 3 (In-House)"/>
    <hyperlink ref="B34" location="'08. PW · AW · FW'!A1" display="08. Worth Analysis: PW · AW · FW"/>
    <hyperlink ref="B35" location="'09. Payback'!A1" display="09. Payback Period"/>
    <hyperlink ref="B36" location="'10. IRR · ROR'!A1" display="10. Rate of Return (IRR &amp; ROR)"/>
    <hyperlink ref="B37" location="'11. B over C'!A1" display="11. Benefit / Cost Ratio"/>
    <hyperlink ref="B38" location="'12. Break-Even'!A1" display="12. Break-Even Analysis"/>
    <hyperlink ref="B39" location="'13. Sensitivity'!A1" display="13. Sensitivity Analysis"/>
    <hyperlink ref="B40" location="'14. Recommendation'!A1" display="14. Recommendation &amp; Conclusion"/>
    <hyperlink ref="B41" location="'15. Sources'!A1" display="15. Sources &amp; Referenc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E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2" width="38.7109375" customWidth="1"/>
    <col min="3" max="3" width="22.7109375" customWidth="1"/>
    <col min="4" max="4" width="60.7109375" customWidth="1"/>
    <col min="5" max="5" width="26.7109375" customWidth="1"/>
  </cols>
  <sheetData>
    <row r="2" spans="2:5">
      <c r="B2" s="1" t="s">
        <v>154</v>
      </c>
      <c r="C2" s="1"/>
      <c r="D2" s="1"/>
      <c r="E2" s="1"/>
    </row>
    <row r="3" spans="2:5">
      <c r="B3" s="2" t="s">
        <v>155</v>
      </c>
    </row>
    <row r="5" spans="2:5">
      <c r="B5" s="4" t="s">
        <v>156</v>
      </c>
      <c r="C5" s="11">
        <v>0.15</v>
      </c>
      <c r="D5" s="12" t="s">
        <v>157</v>
      </c>
      <c r="E5" s="13" t="s">
        <v>158</v>
      </c>
    </row>
    <row r="6" spans="2:5">
      <c r="B6" s="4" t="s">
        <v>159</v>
      </c>
      <c r="C6" s="14">
        <v>5</v>
      </c>
      <c r="D6" s="12" t="s">
        <v>160</v>
      </c>
      <c r="E6" s="12" t="s">
        <v>161</v>
      </c>
    </row>
    <row r="7" spans="2:5">
      <c r="B7" s="4" t="s">
        <v>162</v>
      </c>
      <c r="C7" s="5" t="s">
        <v>163</v>
      </c>
      <c r="D7" s="5"/>
      <c r="E7" s="12" t="s">
        <v>164</v>
      </c>
    </row>
    <row r="8" spans="2:5">
      <c r="B8" s="4" t="s">
        <v>165</v>
      </c>
      <c r="C8" s="5" t="s">
        <v>166</v>
      </c>
      <c r="D8" s="5"/>
      <c r="E8" s="12" t="s">
        <v>167</v>
      </c>
    </row>
    <row r="11" spans="2:5">
      <c r="B11" s="15" t="s">
        <v>168</v>
      </c>
      <c r="C11" s="15"/>
      <c r="D11" s="15"/>
      <c r="E11" s="15"/>
    </row>
    <row r="12" spans="2:5">
      <c r="B12" s="4" t="s">
        <v>119</v>
      </c>
      <c r="C12" s="16">
        <v>50000000</v>
      </c>
      <c r="D12" s="12" t="s">
        <v>169</v>
      </c>
      <c r="E12" s="13" t="s">
        <v>170</v>
      </c>
    </row>
    <row r="13" spans="2:5">
      <c r="B13" s="4" t="s">
        <v>171</v>
      </c>
      <c r="C13" s="16">
        <v>10000000</v>
      </c>
      <c r="D13" s="12" t="s">
        <v>172</v>
      </c>
      <c r="E13" s="12" t="s">
        <v>173</v>
      </c>
    </row>
    <row r="14" spans="2:5">
      <c r="B14" s="4" t="s">
        <v>117</v>
      </c>
      <c r="C14" s="5" t="s">
        <v>118</v>
      </c>
      <c r="D14" s="5"/>
      <c r="E14" s="12" t="s">
        <v>174</v>
      </c>
    </row>
    <row r="15" spans="2:5">
      <c r="B15" s="4" t="s">
        <v>175</v>
      </c>
      <c r="C15" s="5" t="s">
        <v>176</v>
      </c>
      <c r="D15" s="5"/>
      <c r="E15" s="12" t="s">
        <v>174</v>
      </c>
    </row>
    <row r="16" spans="2:5">
      <c r="B16" s="4" t="s">
        <v>177</v>
      </c>
      <c r="C16" s="14">
        <v>180</v>
      </c>
      <c r="D16" s="12" t="s">
        <v>178</v>
      </c>
      <c r="E16" s="13" t="s">
        <v>179</v>
      </c>
    </row>
    <row r="18" spans="2:5">
      <c r="B18" s="15" t="s">
        <v>180</v>
      </c>
      <c r="C18" s="15"/>
      <c r="D18" s="15"/>
      <c r="E18" s="15"/>
    </row>
    <row r="19" spans="2:5">
      <c r="B19" s="6" t="s">
        <v>181</v>
      </c>
      <c r="C19" s="17" t="s">
        <v>182</v>
      </c>
      <c r="D19" s="17" t="s">
        <v>183</v>
      </c>
      <c r="E19" s="17" t="s">
        <v>184</v>
      </c>
    </row>
    <row r="20" spans="2:5">
      <c r="B20" s="4" t="s">
        <v>185</v>
      </c>
      <c r="C20" s="18">
        <v>10000</v>
      </c>
      <c r="D20" s="18">
        <v>555000</v>
      </c>
      <c r="E20" s="18">
        <v>0</v>
      </c>
    </row>
    <row r="21" spans="2:5">
      <c r="B21" s="4" t="s">
        <v>186</v>
      </c>
      <c r="C21" s="18">
        <v>25000</v>
      </c>
      <c r="D21" s="18">
        <v>376000</v>
      </c>
      <c r="E21" s="18">
        <v>0</v>
      </c>
    </row>
    <row r="22" spans="2:5">
      <c r="B22" s="4" t="s">
        <v>187</v>
      </c>
      <c r="C22" s="18">
        <v>380000</v>
      </c>
      <c r="D22" s="18">
        <v>225000</v>
      </c>
      <c r="E22" s="18">
        <v>80000</v>
      </c>
    </row>
  </sheetData>
  <mergeCells count="7">
    <mergeCell ref="B2:E2"/>
    <mergeCell ref="C7:D7"/>
    <mergeCell ref="C8:D8"/>
    <mergeCell ref="B11:E11"/>
    <mergeCell ref="C14:D14"/>
    <mergeCell ref="C15:D15"/>
    <mergeCell ref="B18:E18"/>
  </mergeCells>
  <hyperlinks>
    <hyperlink ref="E5" r:id="rId1"/>
    <hyperlink ref="E12" r:id="rId2"/>
    <hyperlink ref="E16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97706"/>
  </sheetPr>
  <dimension ref="B2:F2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2" width="8.7109375" customWidth="1"/>
    <col min="3" max="3" width="50.7109375" customWidth="1"/>
    <col min="4" max="4" width="18.7109375" customWidth="1"/>
    <col min="5" max="5" width="60.7109375" customWidth="1"/>
    <col min="6" max="6" width="26.7109375" customWidth="1"/>
  </cols>
  <sheetData>
    <row r="2" spans="2:6">
      <c r="B2" s="1" t="s">
        <v>188</v>
      </c>
      <c r="C2" s="1"/>
      <c r="D2" s="1"/>
      <c r="E2" s="1"/>
      <c r="F2" s="1"/>
    </row>
    <row r="3" spans="2:6">
      <c r="B3" s="2" t="s">
        <v>189</v>
      </c>
    </row>
    <row r="6" spans="2:6">
      <c r="B6" s="3" t="s">
        <v>185</v>
      </c>
      <c r="C6" s="3"/>
      <c r="D6" s="3"/>
      <c r="E6" s="3"/>
      <c r="F6" s="3"/>
    </row>
    <row r="7" spans="2:6">
      <c r="B7" s="7" t="s">
        <v>2</v>
      </c>
      <c r="C7" s="6" t="s">
        <v>190</v>
      </c>
      <c r="D7" s="17" t="s">
        <v>191</v>
      </c>
      <c r="E7" s="6" t="s">
        <v>7</v>
      </c>
      <c r="F7" s="6" t="s">
        <v>192</v>
      </c>
    </row>
    <row r="8" spans="2:6">
      <c r="B8" s="8">
        <v>1</v>
      </c>
      <c r="C8" s="5" t="s">
        <v>193</v>
      </c>
      <c r="D8" s="16">
        <v>10000</v>
      </c>
      <c r="E8" s="12" t="s">
        <v>194</v>
      </c>
      <c r="F8" s="13" t="s">
        <v>42</v>
      </c>
    </row>
    <row r="9" spans="2:6">
      <c r="B9" s="5"/>
      <c r="C9" s="4" t="s">
        <v>195</v>
      </c>
      <c r="D9" s="19">
        <f>SUM(D8:D8)</f>
        <v>10000</v>
      </c>
      <c r="E9" s="5"/>
      <c r="F9" s="5"/>
    </row>
    <row r="11" spans="2:6">
      <c r="B11" s="3" t="s">
        <v>186</v>
      </c>
      <c r="C11" s="3"/>
      <c r="D11" s="3"/>
      <c r="E11" s="3"/>
      <c r="F11" s="3"/>
    </row>
    <row r="12" spans="2:6">
      <c r="B12" s="7" t="s">
        <v>2</v>
      </c>
      <c r="C12" s="6" t="s">
        <v>190</v>
      </c>
      <c r="D12" s="17" t="s">
        <v>191</v>
      </c>
      <c r="E12" s="6" t="s">
        <v>7</v>
      </c>
      <c r="F12" s="6" t="s">
        <v>192</v>
      </c>
    </row>
    <row r="13" spans="2:6">
      <c r="B13" s="8">
        <v>1</v>
      </c>
      <c r="C13" s="5" t="s">
        <v>196</v>
      </c>
      <c r="D13" s="16">
        <v>25000</v>
      </c>
      <c r="E13" s="12" t="s">
        <v>197</v>
      </c>
      <c r="F13" s="13" t="s">
        <v>47</v>
      </c>
    </row>
    <row r="14" spans="2:6">
      <c r="B14" s="5"/>
      <c r="C14" s="4" t="s">
        <v>195</v>
      </c>
      <c r="D14" s="19">
        <f>SUM(D13:D13)</f>
        <v>25000</v>
      </c>
      <c r="E14" s="5"/>
      <c r="F14" s="5"/>
    </row>
    <row r="16" spans="2:6">
      <c r="B16" s="3" t="s">
        <v>187</v>
      </c>
      <c r="C16" s="3"/>
      <c r="D16" s="3"/>
      <c r="E16" s="3"/>
      <c r="F16" s="3"/>
    </row>
    <row r="17" spans="2:6">
      <c r="B17" s="7" t="s">
        <v>2</v>
      </c>
      <c r="C17" s="6" t="s">
        <v>190</v>
      </c>
      <c r="D17" s="17" t="s">
        <v>191</v>
      </c>
      <c r="E17" s="6" t="s">
        <v>7</v>
      </c>
      <c r="F17" s="6" t="s">
        <v>192</v>
      </c>
    </row>
    <row r="18" spans="2:6">
      <c r="B18" s="8">
        <v>1</v>
      </c>
      <c r="C18" s="5" t="s">
        <v>198</v>
      </c>
      <c r="D18" s="16">
        <v>60000</v>
      </c>
      <c r="E18" s="12" t="s">
        <v>199</v>
      </c>
      <c r="F18" s="13" t="s">
        <v>72</v>
      </c>
    </row>
    <row r="19" spans="2:6">
      <c r="B19" s="8">
        <v>2</v>
      </c>
      <c r="C19" s="5" t="s">
        <v>200</v>
      </c>
      <c r="D19" s="16">
        <v>20000</v>
      </c>
      <c r="E19" s="12" t="s">
        <v>201</v>
      </c>
      <c r="F19" s="13" t="s">
        <v>67</v>
      </c>
    </row>
    <row r="20" spans="2:6">
      <c r="B20" s="8">
        <v>3</v>
      </c>
      <c r="C20" s="5" t="s">
        <v>202</v>
      </c>
      <c r="D20" s="16">
        <v>30000</v>
      </c>
      <c r="E20" s="12" t="s">
        <v>203</v>
      </c>
      <c r="F20" s="13" t="s">
        <v>67</v>
      </c>
    </row>
    <row r="21" spans="2:6">
      <c r="B21" s="8">
        <v>4</v>
      </c>
      <c r="C21" s="5" t="s">
        <v>204</v>
      </c>
      <c r="D21" s="16">
        <v>40000</v>
      </c>
      <c r="E21" s="12" t="s">
        <v>205</v>
      </c>
      <c r="F21" s="13" t="s">
        <v>42</v>
      </c>
    </row>
    <row r="22" spans="2:6">
      <c r="B22" s="8">
        <v>5</v>
      </c>
      <c r="C22" s="5" t="s">
        <v>206</v>
      </c>
      <c r="D22" s="16">
        <v>180000</v>
      </c>
      <c r="E22" s="12" t="s">
        <v>207</v>
      </c>
      <c r="F22" s="13" t="s">
        <v>82</v>
      </c>
    </row>
    <row r="23" spans="2:6">
      <c r="B23" s="8">
        <v>6</v>
      </c>
      <c r="C23" s="5" t="s">
        <v>208</v>
      </c>
      <c r="D23" s="16">
        <v>50000</v>
      </c>
      <c r="E23" s="12" t="s">
        <v>209</v>
      </c>
      <c r="F23" s="13" t="s">
        <v>92</v>
      </c>
    </row>
    <row r="24" spans="2:6">
      <c r="B24" s="5"/>
      <c r="C24" s="4" t="s">
        <v>195</v>
      </c>
      <c r="D24" s="19">
        <f>SUM(D18:D23)</f>
        <v>380000</v>
      </c>
      <c r="E24" s="5"/>
      <c r="F24" s="5"/>
    </row>
  </sheetData>
  <mergeCells count="4">
    <mergeCell ref="B2:F2"/>
    <mergeCell ref="B6:F6"/>
    <mergeCell ref="B11:F11"/>
    <mergeCell ref="B16:F16"/>
  </mergeCells>
  <hyperlinks>
    <hyperlink ref="F8" r:id="rId1"/>
    <hyperlink ref="F13" r:id="rId2"/>
    <hyperlink ref="F18" r:id="rId3"/>
    <hyperlink ref="F19" r:id="rId4"/>
    <hyperlink ref="F20" r:id="rId5"/>
    <hyperlink ref="F21" r:id="rId6"/>
    <hyperlink ref="F22" r:id="rId7"/>
    <hyperlink ref="F23" r:id="rId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97706"/>
  </sheetPr>
  <dimension ref="B2:F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2" width="8.7109375" customWidth="1"/>
    <col min="3" max="3" width="50.7109375" customWidth="1"/>
    <col min="4" max="4" width="18.7109375" customWidth="1"/>
    <col min="5" max="5" width="60.7109375" customWidth="1"/>
    <col min="6" max="6" width="26.7109375" customWidth="1"/>
  </cols>
  <sheetData>
    <row r="2" spans="2:6">
      <c r="B2" s="1" t="s">
        <v>210</v>
      </c>
      <c r="C2" s="1"/>
      <c r="D2" s="1"/>
      <c r="E2" s="1"/>
      <c r="F2" s="1"/>
    </row>
    <row r="3" spans="2:6">
      <c r="B3" s="2" t="s">
        <v>211</v>
      </c>
    </row>
    <row r="6" spans="2:6">
      <c r="B6" s="3" t="s">
        <v>185</v>
      </c>
      <c r="C6" s="3"/>
      <c r="D6" s="3"/>
      <c r="E6" s="3"/>
      <c r="F6" s="3"/>
    </row>
    <row r="7" spans="2:6">
      <c r="B7" s="7" t="s">
        <v>2</v>
      </c>
      <c r="C7" s="6" t="s">
        <v>190</v>
      </c>
      <c r="D7" s="17" t="s">
        <v>183</v>
      </c>
      <c r="E7" s="6" t="s">
        <v>7</v>
      </c>
      <c r="F7" s="6" t="s">
        <v>192</v>
      </c>
    </row>
    <row r="8" spans="2:6">
      <c r="B8" s="8">
        <v>1</v>
      </c>
      <c r="C8" s="5" t="s">
        <v>212</v>
      </c>
      <c r="D8" s="16">
        <v>390000</v>
      </c>
      <c r="E8" s="12" t="s">
        <v>213</v>
      </c>
      <c r="F8" s="13" t="s">
        <v>9</v>
      </c>
    </row>
    <row r="9" spans="2:6">
      <c r="B9" s="8">
        <v>2</v>
      </c>
      <c r="C9" s="5" t="s">
        <v>214</v>
      </c>
      <c r="D9" s="16">
        <v>75000</v>
      </c>
      <c r="E9" s="12" t="s">
        <v>215</v>
      </c>
      <c r="F9" s="13" t="s">
        <v>22</v>
      </c>
    </row>
    <row r="10" spans="2:6">
      <c r="B10" s="8">
        <v>3</v>
      </c>
      <c r="C10" s="5" t="s">
        <v>216</v>
      </c>
      <c r="D10" s="16">
        <v>50000</v>
      </c>
      <c r="E10" s="12" t="s">
        <v>217</v>
      </c>
      <c r="F10" s="13" t="s">
        <v>37</v>
      </c>
    </row>
    <row r="11" spans="2:6">
      <c r="B11" s="8">
        <v>4</v>
      </c>
      <c r="C11" s="5" t="s">
        <v>218</v>
      </c>
      <c r="D11" s="16">
        <v>40000</v>
      </c>
      <c r="E11" s="12" t="s">
        <v>219</v>
      </c>
      <c r="F11" s="13" t="s">
        <v>92</v>
      </c>
    </row>
    <row r="12" spans="2:6">
      <c r="B12" s="5"/>
      <c r="C12" s="4" t="s">
        <v>220</v>
      </c>
      <c r="D12" s="19">
        <f>SUM(D8:D11)</f>
        <v>555000</v>
      </c>
      <c r="E12" s="5"/>
      <c r="F12" s="5"/>
    </row>
    <row r="14" spans="2:6">
      <c r="B14" s="3" t="s">
        <v>186</v>
      </c>
      <c r="C14" s="3"/>
      <c r="D14" s="3"/>
      <c r="E14" s="3"/>
      <c r="F14" s="3"/>
    </row>
    <row r="15" spans="2:6">
      <c r="B15" s="7" t="s">
        <v>2</v>
      </c>
      <c r="C15" s="6" t="s">
        <v>190</v>
      </c>
      <c r="D15" s="17" t="s">
        <v>183</v>
      </c>
      <c r="E15" s="6" t="s">
        <v>7</v>
      </c>
      <c r="F15" s="6" t="s">
        <v>192</v>
      </c>
    </row>
    <row r="16" spans="2:6">
      <c r="B16" s="8">
        <v>1</v>
      </c>
      <c r="C16" s="5" t="s">
        <v>221</v>
      </c>
      <c r="D16" s="16">
        <v>180000</v>
      </c>
      <c r="E16" s="12" t="s">
        <v>222</v>
      </c>
      <c r="F16" s="13" t="s">
        <v>47</v>
      </c>
    </row>
    <row r="17" spans="2:6">
      <c r="B17" s="8">
        <v>2</v>
      </c>
      <c r="C17" s="5" t="s">
        <v>223</v>
      </c>
      <c r="D17" s="16">
        <v>36000</v>
      </c>
      <c r="E17" s="12" t="s">
        <v>224</v>
      </c>
      <c r="F17" s="13" t="s">
        <v>52</v>
      </c>
    </row>
    <row r="18" spans="2:6">
      <c r="B18" s="8">
        <v>3</v>
      </c>
      <c r="C18" s="5" t="s">
        <v>225</v>
      </c>
      <c r="D18" s="16">
        <v>130000</v>
      </c>
      <c r="E18" s="12" t="s">
        <v>226</v>
      </c>
      <c r="F18" s="13" t="s">
        <v>9</v>
      </c>
    </row>
    <row r="19" spans="2:6">
      <c r="B19" s="8">
        <v>4</v>
      </c>
      <c r="C19" s="5" t="s">
        <v>227</v>
      </c>
      <c r="D19" s="16">
        <v>20000</v>
      </c>
      <c r="E19" s="12" t="s">
        <v>228</v>
      </c>
      <c r="F19" s="13" t="s">
        <v>57</v>
      </c>
    </row>
    <row r="20" spans="2:6">
      <c r="B20" s="8">
        <v>5</v>
      </c>
      <c r="C20" s="5" t="s">
        <v>229</v>
      </c>
      <c r="D20" s="16">
        <v>10000</v>
      </c>
      <c r="E20" s="12" t="s">
        <v>230</v>
      </c>
      <c r="F20" s="13" t="s">
        <v>37</v>
      </c>
    </row>
    <row r="21" spans="2:6">
      <c r="B21" s="5"/>
      <c r="C21" s="4" t="s">
        <v>220</v>
      </c>
      <c r="D21" s="19">
        <f>SUM(D16:D20)</f>
        <v>376000</v>
      </c>
      <c r="E21" s="5"/>
      <c r="F21" s="5"/>
    </row>
    <row r="23" spans="2:6">
      <c r="B23" s="3" t="s">
        <v>187</v>
      </c>
      <c r="C23" s="3"/>
      <c r="D23" s="3"/>
      <c r="E23" s="3"/>
      <c r="F23" s="3"/>
    </row>
    <row r="24" spans="2:6">
      <c r="B24" s="7" t="s">
        <v>2</v>
      </c>
      <c r="C24" s="6" t="s">
        <v>190</v>
      </c>
      <c r="D24" s="17" t="s">
        <v>183</v>
      </c>
      <c r="E24" s="6" t="s">
        <v>7</v>
      </c>
      <c r="F24" s="6" t="s">
        <v>192</v>
      </c>
    </row>
    <row r="25" spans="2:6">
      <c r="B25" s="8">
        <v>1</v>
      </c>
      <c r="C25" s="5" t="s">
        <v>231</v>
      </c>
      <c r="D25" s="16">
        <v>145000</v>
      </c>
      <c r="E25" s="12" t="s">
        <v>232</v>
      </c>
      <c r="F25" s="13" t="s">
        <v>82</v>
      </c>
    </row>
    <row r="26" spans="2:6">
      <c r="B26" s="8">
        <v>2</v>
      </c>
      <c r="C26" s="5" t="s">
        <v>233</v>
      </c>
      <c r="D26" s="16">
        <v>30000</v>
      </c>
      <c r="E26" s="12" t="s">
        <v>234</v>
      </c>
      <c r="F26" s="13" t="s">
        <v>77</v>
      </c>
    </row>
    <row r="27" spans="2:6">
      <c r="B27" s="8">
        <v>3</v>
      </c>
      <c r="C27" s="5" t="s">
        <v>235</v>
      </c>
      <c r="D27" s="16">
        <v>25000</v>
      </c>
      <c r="E27" s="12" t="s">
        <v>236</v>
      </c>
      <c r="F27" s="13" t="s">
        <v>72</v>
      </c>
    </row>
    <row r="28" spans="2:6">
      <c r="B28" s="8">
        <v>4</v>
      </c>
      <c r="C28" s="5" t="s">
        <v>237</v>
      </c>
      <c r="D28" s="16">
        <v>15000</v>
      </c>
      <c r="E28" s="12" t="s">
        <v>238</v>
      </c>
      <c r="F28" s="13" t="s">
        <v>57</v>
      </c>
    </row>
    <row r="29" spans="2:6">
      <c r="B29" s="8">
        <v>5</v>
      </c>
      <c r="C29" s="5" t="s">
        <v>229</v>
      </c>
      <c r="D29" s="16">
        <v>10000</v>
      </c>
      <c r="E29" s="12" t="s">
        <v>239</v>
      </c>
      <c r="F29" s="13" t="s">
        <v>37</v>
      </c>
    </row>
    <row r="30" spans="2:6">
      <c r="B30" s="5"/>
      <c r="C30" s="4" t="s">
        <v>220</v>
      </c>
      <c r="D30" s="19">
        <f>SUM(D25:D29)</f>
        <v>225000</v>
      </c>
      <c r="E30" s="5"/>
      <c r="F30" s="5"/>
    </row>
  </sheetData>
  <mergeCells count="4">
    <mergeCell ref="B2:F2"/>
    <mergeCell ref="B6:F6"/>
    <mergeCell ref="B14:F14"/>
    <mergeCell ref="B23:F23"/>
  </mergeCells>
  <hyperlinks>
    <hyperlink ref="F8" r:id="rId1"/>
    <hyperlink ref="F9" r:id="rId2"/>
    <hyperlink ref="F10" r:id="rId3"/>
    <hyperlink ref="F11" r:id="rId4"/>
    <hyperlink ref="F16" r:id="rId5"/>
    <hyperlink ref="F17" r:id="rId6"/>
    <hyperlink ref="F18" r:id="rId7"/>
    <hyperlink ref="F19" r:id="rId8"/>
    <hyperlink ref="F20" r:id="rId9"/>
    <hyperlink ref="F25" r:id="rId10"/>
    <hyperlink ref="F26" r:id="rId11"/>
    <hyperlink ref="F27" r:id="rId12"/>
    <hyperlink ref="F28" r:id="rId13"/>
    <hyperlink ref="F29" r:id="rId1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0392B"/>
  </sheetPr>
  <dimension ref="B2:J1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42.7109375" customWidth="1"/>
    <col min="3" max="8" width="16.7109375" customWidth="1"/>
    <col min="9" max="9" width="18.7109375" customWidth="1"/>
  </cols>
  <sheetData>
    <row r="2" spans="2:10">
      <c r="B2" s="1" t="s">
        <v>240</v>
      </c>
      <c r="C2" s="1"/>
      <c r="D2" s="1"/>
      <c r="E2" s="1"/>
      <c r="F2" s="1"/>
      <c r="G2" s="1"/>
      <c r="H2" s="1"/>
      <c r="I2" s="1"/>
    </row>
    <row r="3" spans="2:10">
      <c r="B3" s="2" t="s">
        <v>241</v>
      </c>
    </row>
    <row r="5" spans="2:10">
      <c r="B5" s="6" t="s">
        <v>242</v>
      </c>
      <c r="C5" s="7" t="s">
        <v>243</v>
      </c>
      <c r="D5" s="7" t="s">
        <v>244</v>
      </c>
      <c r="E5" s="7" t="s">
        <v>245</v>
      </c>
      <c r="F5" s="7" t="s">
        <v>246</v>
      </c>
      <c r="G5" s="7" t="s">
        <v>247</v>
      </c>
      <c r="H5" s="7" t="s">
        <v>248</v>
      </c>
    </row>
    <row r="6" spans="2:10">
      <c r="B6" s="4" t="s">
        <v>182</v>
      </c>
      <c r="C6" s="18">
        <v>-10000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6" t="s">
        <v>254</v>
      </c>
      <c r="J6" s="17" t="s">
        <v>255</v>
      </c>
    </row>
    <row r="7" spans="2:10">
      <c r="B7" s="5" t="s">
        <v>212</v>
      </c>
      <c r="C7" s="18">
        <v>0</v>
      </c>
      <c r="D7" s="18">
        <v>-390000</v>
      </c>
      <c r="E7" s="18">
        <v>-390000</v>
      </c>
      <c r="F7" s="18">
        <v>-390000</v>
      </c>
      <c r="G7" s="18">
        <v>-390000</v>
      </c>
      <c r="H7" s="18">
        <v>-390000</v>
      </c>
      <c r="I7" s="4" t="s">
        <v>182</v>
      </c>
      <c r="J7" s="18">
        <v>-10000</v>
      </c>
    </row>
    <row r="8" spans="2:10">
      <c r="B8" s="5" t="s">
        <v>214</v>
      </c>
      <c r="C8" s="18">
        <v>0</v>
      </c>
      <c r="D8" s="18">
        <v>-75000</v>
      </c>
      <c r="E8" s="18">
        <v>-75000</v>
      </c>
      <c r="F8" s="18">
        <v>-75000</v>
      </c>
      <c r="G8" s="18">
        <v>-75000</v>
      </c>
      <c r="H8" s="18">
        <v>-75000</v>
      </c>
      <c r="I8" s="4" t="s">
        <v>183</v>
      </c>
      <c r="J8" s="18">
        <v>-555000</v>
      </c>
    </row>
    <row r="9" spans="2:10">
      <c r="B9" s="5" t="s">
        <v>216</v>
      </c>
      <c r="C9" s="18">
        <v>0</v>
      </c>
      <c r="D9" s="18">
        <v>-50000</v>
      </c>
      <c r="E9" s="18">
        <v>-50000</v>
      </c>
      <c r="F9" s="18">
        <v>-50000</v>
      </c>
      <c r="G9" s="18">
        <v>-50000</v>
      </c>
      <c r="H9" s="18">
        <v>-50000</v>
      </c>
      <c r="I9" s="4" t="s">
        <v>256</v>
      </c>
      <c r="J9" s="18">
        <v>0</v>
      </c>
    </row>
    <row r="10" spans="2:10">
      <c r="B10" s="5" t="s">
        <v>218</v>
      </c>
      <c r="C10" s="18">
        <v>0</v>
      </c>
      <c r="D10" s="18">
        <v>-40000</v>
      </c>
      <c r="E10" s="18">
        <v>-40000</v>
      </c>
      <c r="F10" s="18">
        <v>-40000</v>
      </c>
      <c r="G10" s="18">
        <v>-40000</v>
      </c>
      <c r="H10" s="18">
        <v>-40000</v>
      </c>
      <c r="I10" s="4" t="s">
        <v>257</v>
      </c>
      <c r="J10" s="20">
        <f>H15</f>
        <v>0</v>
      </c>
    </row>
    <row r="11" spans="2:10">
      <c r="B11" s="4" t="s">
        <v>249</v>
      </c>
      <c r="C11" s="20">
        <f>SUM(C6:C10)</f>
        <v>0</v>
      </c>
      <c r="D11" s="20">
        <f>SUM(D6:D10)</f>
        <v>0</v>
      </c>
      <c r="E11" s="20">
        <f>SUM(E6:E10)</f>
        <v>0</v>
      </c>
      <c r="F11" s="20">
        <f>SUM(F6:F10)</f>
        <v>0</v>
      </c>
      <c r="G11" s="20">
        <f>SUM(G6:G10)</f>
        <v>0</v>
      </c>
      <c r="H11" s="20">
        <f>SUM(H6:H10)</f>
        <v>0</v>
      </c>
    </row>
    <row r="12" spans="2:10">
      <c r="B12" s="5" t="s">
        <v>250</v>
      </c>
      <c r="C12" s="21">
        <f>1/(1+MARR)^0</f>
        <v>0</v>
      </c>
      <c r="D12" s="21">
        <f>1/(1+MARR)^1</f>
        <v>0</v>
      </c>
      <c r="E12" s="21">
        <f>1/(1+MARR)^2</f>
        <v>0</v>
      </c>
      <c r="F12" s="21">
        <f>1/(1+MARR)^3</f>
        <v>0</v>
      </c>
      <c r="G12" s="21">
        <f>1/(1+MARR)^4</f>
        <v>0</v>
      </c>
      <c r="H12" s="21">
        <f>1/(1+MARR)^5</f>
        <v>0</v>
      </c>
    </row>
    <row r="13" spans="2:10">
      <c r="B13" s="4" t="s">
        <v>251</v>
      </c>
      <c r="C13" s="20">
        <f>C11*C12</f>
        <v>0</v>
      </c>
      <c r="D13" s="20">
        <f>D11*D12</f>
        <v>0</v>
      </c>
      <c r="E13" s="20">
        <f>E11*E12</f>
        <v>0</v>
      </c>
      <c r="F13" s="20">
        <f>F11*F12</f>
        <v>0</v>
      </c>
      <c r="G13" s="20">
        <f>G11*G12</f>
        <v>0</v>
      </c>
      <c r="H13" s="20">
        <f>H11*H12</f>
        <v>0</v>
      </c>
    </row>
    <row r="14" spans="2:10">
      <c r="B14" s="4" t="s">
        <v>252</v>
      </c>
      <c r="C14" s="20">
        <f>C11</f>
        <v>0</v>
      </c>
      <c r="D14" s="20">
        <f>C14+D11</f>
        <v>0</v>
      </c>
      <c r="E14" s="20">
        <f>D14+E11</f>
        <v>0</v>
      </c>
      <c r="F14" s="20">
        <f>E14+F11</f>
        <v>0</v>
      </c>
      <c r="G14" s="20">
        <f>F14+G11</f>
        <v>0</v>
      </c>
      <c r="H14" s="20">
        <f>G14+H11</f>
        <v>0</v>
      </c>
    </row>
    <row r="15" spans="2:10">
      <c r="B15" s="4" t="s">
        <v>253</v>
      </c>
      <c r="C15" s="20">
        <f>C13</f>
        <v>0</v>
      </c>
      <c r="D15" s="20">
        <f>C15+D13</f>
        <v>0</v>
      </c>
      <c r="E15" s="20">
        <f>D15+E13</f>
        <v>0</v>
      </c>
      <c r="F15" s="20">
        <f>E15+F13</f>
        <v>0</v>
      </c>
      <c r="G15" s="20">
        <f>F15+G13</f>
        <v>0</v>
      </c>
      <c r="H15" s="20">
        <f>G15+H13</f>
        <v>0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E5FB8"/>
  </sheetPr>
  <dimension ref="B2:J1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42.7109375" customWidth="1"/>
    <col min="3" max="8" width="16.7109375" customWidth="1"/>
    <col min="9" max="9" width="18.7109375" customWidth="1"/>
  </cols>
  <sheetData>
    <row r="2" spans="2:10">
      <c r="B2" s="1" t="s">
        <v>258</v>
      </c>
      <c r="C2" s="1"/>
      <c r="D2" s="1"/>
      <c r="E2" s="1"/>
      <c r="F2" s="1"/>
      <c r="G2" s="1"/>
      <c r="H2" s="1"/>
      <c r="I2" s="1"/>
    </row>
    <row r="3" spans="2:10">
      <c r="B3" s="2" t="s">
        <v>259</v>
      </c>
    </row>
    <row r="5" spans="2:10">
      <c r="B5" s="6" t="s">
        <v>242</v>
      </c>
      <c r="C5" s="7" t="s">
        <v>243</v>
      </c>
      <c r="D5" s="7" t="s">
        <v>244</v>
      </c>
      <c r="E5" s="7" t="s">
        <v>245</v>
      </c>
      <c r="F5" s="7" t="s">
        <v>246</v>
      </c>
      <c r="G5" s="7" t="s">
        <v>247</v>
      </c>
      <c r="H5" s="7" t="s">
        <v>248</v>
      </c>
    </row>
    <row r="6" spans="2:10">
      <c r="B6" s="4" t="s">
        <v>182</v>
      </c>
      <c r="C6" s="18">
        <v>-25000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6" t="s">
        <v>254</v>
      </c>
      <c r="J6" s="17" t="s">
        <v>255</v>
      </c>
    </row>
    <row r="7" spans="2:10">
      <c r="B7" s="5" t="s">
        <v>221</v>
      </c>
      <c r="C7" s="18">
        <v>0</v>
      </c>
      <c r="D7" s="18">
        <v>-180000</v>
      </c>
      <c r="E7" s="18">
        <v>-180000</v>
      </c>
      <c r="F7" s="18">
        <v>-180000</v>
      </c>
      <c r="G7" s="18">
        <v>-180000</v>
      </c>
      <c r="H7" s="18">
        <v>-180000</v>
      </c>
      <c r="I7" s="4" t="s">
        <v>182</v>
      </c>
      <c r="J7" s="18">
        <v>-25000</v>
      </c>
    </row>
    <row r="8" spans="2:10">
      <c r="B8" s="5" t="s">
        <v>223</v>
      </c>
      <c r="C8" s="18">
        <v>0</v>
      </c>
      <c r="D8" s="18">
        <v>-36000</v>
      </c>
      <c r="E8" s="18">
        <v>-36000</v>
      </c>
      <c r="F8" s="18">
        <v>-36000</v>
      </c>
      <c r="G8" s="18">
        <v>-36000</v>
      </c>
      <c r="H8" s="18">
        <v>-36000</v>
      </c>
      <c r="I8" s="4" t="s">
        <v>183</v>
      </c>
      <c r="J8" s="18">
        <v>-376000</v>
      </c>
    </row>
    <row r="9" spans="2:10">
      <c r="B9" s="5" t="s">
        <v>225</v>
      </c>
      <c r="C9" s="18">
        <v>0</v>
      </c>
      <c r="D9" s="18">
        <v>-130000</v>
      </c>
      <c r="E9" s="18">
        <v>-130000</v>
      </c>
      <c r="F9" s="18">
        <v>-130000</v>
      </c>
      <c r="G9" s="18">
        <v>-130000</v>
      </c>
      <c r="H9" s="18">
        <v>-130000</v>
      </c>
      <c r="I9" s="4" t="s">
        <v>256</v>
      </c>
      <c r="J9" s="18">
        <v>0</v>
      </c>
    </row>
    <row r="10" spans="2:10">
      <c r="B10" s="5" t="s">
        <v>227</v>
      </c>
      <c r="C10" s="18">
        <v>0</v>
      </c>
      <c r="D10" s="18">
        <v>-20000</v>
      </c>
      <c r="E10" s="18">
        <v>-20000</v>
      </c>
      <c r="F10" s="18">
        <v>-20000</v>
      </c>
      <c r="G10" s="18">
        <v>-20000</v>
      </c>
      <c r="H10" s="18">
        <v>-20000</v>
      </c>
      <c r="I10" s="4" t="s">
        <v>257</v>
      </c>
      <c r="J10" s="20">
        <f>H16</f>
        <v>0</v>
      </c>
    </row>
    <row r="11" spans="2:10">
      <c r="B11" s="5" t="s">
        <v>229</v>
      </c>
      <c r="C11" s="18">
        <v>0</v>
      </c>
      <c r="D11" s="18">
        <v>-10000</v>
      </c>
      <c r="E11" s="18">
        <v>-10000</v>
      </c>
      <c r="F11" s="18">
        <v>-10000</v>
      </c>
      <c r="G11" s="18">
        <v>-10000</v>
      </c>
      <c r="H11" s="18">
        <v>-10000</v>
      </c>
    </row>
    <row r="12" spans="2:10">
      <c r="B12" s="4" t="s">
        <v>249</v>
      </c>
      <c r="C12" s="20">
        <f>SUM(C6:C11)</f>
        <v>0</v>
      </c>
      <c r="D12" s="20">
        <f>SUM(D6:D11)</f>
        <v>0</v>
      </c>
      <c r="E12" s="20">
        <f>SUM(E6:E11)</f>
        <v>0</v>
      </c>
      <c r="F12" s="20">
        <f>SUM(F6:F11)</f>
        <v>0</v>
      </c>
      <c r="G12" s="20">
        <f>SUM(G6:G11)</f>
        <v>0</v>
      </c>
      <c r="H12" s="20">
        <f>SUM(H6:H11)</f>
        <v>0</v>
      </c>
    </row>
    <row r="13" spans="2:10">
      <c r="B13" s="5" t="s">
        <v>250</v>
      </c>
      <c r="C13" s="21">
        <f>1/(1+MARR)^0</f>
        <v>0</v>
      </c>
      <c r="D13" s="21">
        <f>1/(1+MARR)^1</f>
        <v>0</v>
      </c>
      <c r="E13" s="21">
        <f>1/(1+MARR)^2</f>
        <v>0</v>
      </c>
      <c r="F13" s="21">
        <f>1/(1+MARR)^3</f>
        <v>0</v>
      </c>
      <c r="G13" s="21">
        <f>1/(1+MARR)^4</f>
        <v>0</v>
      </c>
      <c r="H13" s="21">
        <f>1/(1+MARR)^5</f>
        <v>0</v>
      </c>
    </row>
    <row r="14" spans="2:10">
      <c r="B14" s="4" t="s">
        <v>251</v>
      </c>
      <c r="C14" s="20">
        <f>C12*C13</f>
        <v>0</v>
      </c>
      <c r="D14" s="20">
        <f>D12*D13</f>
        <v>0</v>
      </c>
      <c r="E14" s="20">
        <f>E12*E13</f>
        <v>0</v>
      </c>
      <c r="F14" s="20">
        <f>F12*F13</f>
        <v>0</v>
      </c>
      <c r="G14" s="20">
        <f>G12*G13</f>
        <v>0</v>
      </c>
      <c r="H14" s="20">
        <f>H12*H13</f>
        <v>0</v>
      </c>
    </row>
    <row r="15" spans="2:10">
      <c r="B15" s="4" t="s">
        <v>252</v>
      </c>
      <c r="C15" s="20">
        <f>C12</f>
        <v>0</v>
      </c>
      <c r="D15" s="20">
        <f>C15+D12</f>
        <v>0</v>
      </c>
      <c r="E15" s="20">
        <f>D15+E12</f>
        <v>0</v>
      </c>
      <c r="F15" s="20">
        <f>E15+F12</f>
        <v>0</v>
      </c>
      <c r="G15" s="20">
        <f>F15+G12</f>
        <v>0</v>
      </c>
      <c r="H15" s="20">
        <f>G15+H12</f>
        <v>0</v>
      </c>
    </row>
    <row r="16" spans="2:10">
      <c r="B16" s="4" t="s">
        <v>253</v>
      </c>
      <c r="C16" s="20">
        <f>C14</f>
        <v>0</v>
      </c>
      <c r="D16" s="20">
        <f>C16+D14</f>
        <v>0</v>
      </c>
      <c r="E16" s="20">
        <f>D16+E14</f>
        <v>0</v>
      </c>
      <c r="F16" s="20">
        <f>E16+F14</f>
        <v>0</v>
      </c>
      <c r="G16" s="20">
        <f>F16+G14</f>
        <v>0</v>
      </c>
      <c r="H16" s="20">
        <f>G16+H14</f>
        <v>0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9C37D"/>
  </sheetPr>
  <dimension ref="B2:J1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42.7109375" customWidth="1"/>
    <col min="3" max="8" width="16.7109375" customWidth="1"/>
    <col min="9" max="9" width="18.7109375" customWidth="1"/>
  </cols>
  <sheetData>
    <row r="2" spans="2:10">
      <c r="B2" s="1" t="s">
        <v>260</v>
      </c>
      <c r="C2" s="1"/>
      <c r="D2" s="1"/>
      <c r="E2" s="1"/>
      <c r="F2" s="1"/>
      <c r="G2" s="1"/>
      <c r="H2" s="1"/>
      <c r="I2" s="1"/>
    </row>
    <row r="3" spans="2:10">
      <c r="B3" s="2" t="s">
        <v>261</v>
      </c>
    </row>
    <row r="5" spans="2:10">
      <c r="B5" s="6" t="s">
        <v>242</v>
      </c>
      <c r="C5" s="7" t="s">
        <v>243</v>
      </c>
      <c r="D5" s="7" t="s">
        <v>244</v>
      </c>
      <c r="E5" s="7" t="s">
        <v>245</v>
      </c>
      <c r="F5" s="7" t="s">
        <v>246</v>
      </c>
      <c r="G5" s="7" t="s">
        <v>247</v>
      </c>
      <c r="H5" s="7" t="s">
        <v>248</v>
      </c>
    </row>
    <row r="6" spans="2:10">
      <c r="B6" s="4" t="s">
        <v>182</v>
      </c>
      <c r="C6" s="18">
        <v>-380000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6" t="s">
        <v>254</v>
      </c>
      <c r="J6" s="17" t="s">
        <v>255</v>
      </c>
    </row>
    <row r="7" spans="2:10">
      <c r="B7" s="5" t="s">
        <v>231</v>
      </c>
      <c r="C7" s="18">
        <v>0</v>
      </c>
      <c r="D7" s="18">
        <v>-145000</v>
      </c>
      <c r="E7" s="18">
        <v>-145000</v>
      </c>
      <c r="F7" s="18">
        <v>-145000</v>
      </c>
      <c r="G7" s="18">
        <v>-145000</v>
      </c>
      <c r="H7" s="18">
        <v>-145000</v>
      </c>
      <c r="I7" s="4" t="s">
        <v>182</v>
      </c>
      <c r="J7" s="18">
        <v>-380000</v>
      </c>
    </row>
    <row r="8" spans="2:10">
      <c r="B8" s="5" t="s">
        <v>233</v>
      </c>
      <c r="C8" s="18">
        <v>0</v>
      </c>
      <c r="D8" s="18">
        <v>-30000</v>
      </c>
      <c r="E8" s="18">
        <v>-30000</v>
      </c>
      <c r="F8" s="18">
        <v>-30000</v>
      </c>
      <c r="G8" s="18">
        <v>-30000</v>
      </c>
      <c r="H8" s="18">
        <v>-30000</v>
      </c>
      <c r="I8" s="4" t="s">
        <v>183</v>
      </c>
      <c r="J8" s="18">
        <v>-225000</v>
      </c>
    </row>
    <row r="9" spans="2:10">
      <c r="B9" s="5" t="s">
        <v>235</v>
      </c>
      <c r="C9" s="18">
        <v>0</v>
      </c>
      <c r="D9" s="18">
        <v>-25000</v>
      </c>
      <c r="E9" s="18">
        <v>-25000</v>
      </c>
      <c r="F9" s="18">
        <v>-25000</v>
      </c>
      <c r="G9" s="18">
        <v>-25000</v>
      </c>
      <c r="H9" s="18">
        <v>-25000</v>
      </c>
      <c r="I9" s="4" t="s">
        <v>256</v>
      </c>
      <c r="J9" s="18">
        <v>80000</v>
      </c>
    </row>
    <row r="10" spans="2:10">
      <c r="B10" s="5" t="s">
        <v>237</v>
      </c>
      <c r="C10" s="18">
        <v>0</v>
      </c>
      <c r="D10" s="18">
        <v>-15000</v>
      </c>
      <c r="E10" s="18">
        <v>-15000</v>
      </c>
      <c r="F10" s="18">
        <v>-15000</v>
      </c>
      <c r="G10" s="18">
        <v>-15000</v>
      </c>
      <c r="H10" s="18">
        <v>-15000</v>
      </c>
      <c r="I10" s="4" t="s">
        <v>257</v>
      </c>
      <c r="J10" s="22">
        <f>H17</f>
        <v>0</v>
      </c>
    </row>
    <row r="11" spans="2:10">
      <c r="B11" s="5" t="s">
        <v>229</v>
      </c>
      <c r="C11" s="18">
        <v>0</v>
      </c>
      <c r="D11" s="18">
        <v>-10000</v>
      </c>
      <c r="E11" s="18">
        <v>-10000</v>
      </c>
      <c r="F11" s="18">
        <v>-10000</v>
      </c>
      <c r="G11" s="18">
        <v>-10000</v>
      </c>
      <c r="H11" s="18">
        <v>-10000</v>
      </c>
    </row>
    <row r="12" spans="2:10">
      <c r="B12" s="4" t="s">
        <v>262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80000</v>
      </c>
    </row>
    <row r="13" spans="2:10">
      <c r="B13" s="4" t="s">
        <v>249</v>
      </c>
      <c r="C13" s="20">
        <f>SUM(C6:C12)</f>
        <v>0</v>
      </c>
      <c r="D13" s="20">
        <f>SUM(D6:D12)</f>
        <v>0</v>
      </c>
      <c r="E13" s="20">
        <f>SUM(E6:E12)</f>
        <v>0</v>
      </c>
      <c r="F13" s="20">
        <f>SUM(F6:F12)</f>
        <v>0</v>
      </c>
      <c r="G13" s="20">
        <f>SUM(G6:G12)</f>
        <v>0</v>
      </c>
      <c r="H13" s="20">
        <f>SUM(H6:H12)</f>
        <v>0</v>
      </c>
    </row>
    <row r="14" spans="2:10">
      <c r="B14" s="5" t="s">
        <v>250</v>
      </c>
      <c r="C14" s="21">
        <f>1/(1+MARR)^0</f>
        <v>0</v>
      </c>
      <c r="D14" s="21">
        <f>1/(1+MARR)^1</f>
        <v>0</v>
      </c>
      <c r="E14" s="21">
        <f>1/(1+MARR)^2</f>
        <v>0</v>
      </c>
      <c r="F14" s="21">
        <f>1/(1+MARR)^3</f>
        <v>0</v>
      </c>
      <c r="G14" s="21">
        <f>1/(1+MARR)^4</f>
        <v>0</v>
      </c>
      <c r="H14" s="21">
        <f>1/(1+MARR)^5</f>
        <v>0</v>
      </c>
    </row>
    <row r="15" spans="2:10">
      <c r="B15" s="4" t="s">
        <v>251</v>
      </c>
      <c r="C15" s="20">
        <f>C13*C14</f>
        <v>0</v>
      </c>
      <c r="D15" s="20">
        <f>D13*D14</f>
        <v>0</v>
      </c>
      <c r="E15" s="20">
        <f>E13*E14</f>
        <v>0</v>
      </c>
      <c r="F15" s="20">
        <f>F13*F14</f>
        <v>0</v>
      </c>
      <c r="G15" s="20">
        <f>G13*G14</f>
        <v>0</v>
      </c>
      <c r="H15" s="20">
        <f>H13*H14</f>
        <v>0</v>
      </c>
    </row>
    <row r="16" spans="2:10">
      <c r="B16" s="4" t="s">
        <v>252</v>
      </c>
      <c r="C16" s="20">
        <f>C13</f>
        <v>0</v>
      </c>
      <c r="D16" s="20">
        <f>C16+D13</f>
        <v>0</v>
      </c>
      <c r="E16" s="20">
        <f>D16+E13</f>
        <v>0</v>
      </c>
      <c r="F16" s="20">
        <f>E16+F13</f>
        <v>0</v>
      </c>
      <c r="G16" s="20">
        <f>F16+G13</f>
        <v>0</v>
      </c>
      <c r="H16" s="20">
        <f>G16+H13</f>
        <v>0</v>
      </c>
    </row>
    <row r="17" spans="2:8">
      <c r="B17" s="4" t="s">
        <v>253</v>
      </c>
      <c r="C17" s="20">
        <f>C15</f>
        <v>0</v>
      </c>
      <c r="D17" s="20">
        <f>C17+D15</f>
        <v>0</v>
      </c>
      <c r="E17" s="20">
        <f>D17+E15</f>
        <v>0</v>
      </c>
      <c r="F17" s="20">
        <f>E17+F15</f>
        <v>0</v>
      </c>
      <c r="G17" s="20">
        <f>F17+G15</f>
        <v>0</v>
      </c>
      <c r="H17" s="20">
        <f>G17+H15</f>
        <v>0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F2540"/>
  </sheetPr>
  <dimension ref="B2:F12"/>
  <sheetViews>
    <sheetView showGridLines="0" workbookViewId="0"/>
  </sheetViews>
  <sheetFormatPr defaultRowHeight="15"/>
  <cols>
    <col min="1" max="1" width="2.7109375" customWidth="1"/>
    <col min="2" max="2" width="36.7109375" customWidth="1"/>
    <col min="3" max="5" width="22.7109375" customWidth="1"/>
    <col min="6" max="6" width="50.7109375" customWidth="1"/>
  </cols>
  <sheetData>
    <row r="2" spans="2:6">
      <c r="B2" s="1" t="s">
        <v>263</v>
      </c>
      <c r="C2" s="1"/>
      <c r="D2" s="1"/>
      <c r="E2" s="1"/>
      <c r="F2" s="1"/>
    </row>
    <row r="3" spans="2:6">
      <c r="B3" s="2" t="s">
        <v>264</v>
      </c>
    </row>
    <row r="5" spans="2:6">
      <c r="B5" s="6" t="s">
        <v>265</v>
      </c>
      <c r="C5" s="17" t="s">
        <v>266</v>
      </c>
      <c r="D5" s="17" t="s">
        <v>267</v>
      </c>
      <c r="E5" s="17" t="s">
        <v>268</v>
      </c>
      <c r="F5" s="6" t="s">
        <v>269</v>
      </c>
    </row>
    <row r="6" spans="2:6">
      <c r="B6" s="4" t="s">
        <v>270</v>
      </c>
      <c r="C6" s="20">
        <f>'05. CF — Alt 1 Manual'!H15</f>
        <v>0</v>
      </c>
      <c r="D6" s="20">
        <f>'06. CF — Alt 2 SaaS'!H16</f>
        <v>0</v>
      </c>
      <c r="E6" s="22">
        <f>'07. CF — Alt 3 In-House'!H17</f>
        <v>0</v>
      </c>
      <c r="F6" s="12" t="s">
        <v>271</v>
      </c>
    </row>
    <row r="7" spans="2:6">
      <c r="B7" s="4" t="s">
        <v>272</v>
      </c>
      <c r="C7" s="20">
        <f>C6*MARR*(1+MARR)^STUDY_PERIOD/((1+MARR)^STUDY_PERIOD-1)</f>
        <v>0</v>
      </c>
      <c r="D7" s="20">
        <f>D6*MARR*(1+MARR)^STUDY_PERIOD/((1+MARR)^STUDY_PERIOD-1)</f>
        <v>0</v>
      </c>
      <c r="E7" s="22">
        <f>E6*MARR*(1+MARR)^STUDY_PERIOD/((1+MARR)^STUDY_PERIOD-1)</f>
        <v>0</v>
      </c>
      <c r="F7" s="12">
        <f> PW × (A/P, i, n)</f>
        <v>0</v>
      </c>
    </row>
    <row r="8" spans="2:6">
      <c r="B8" s="4" t="s">
        <v>273</v>
      </c>
      <c r="C8" s="20">
        <f>C6*(1+MARR)^STUDY_PERIOD</f>
        <v>0</v>
      </c>
      <c r="D8" s="20">
        <f>D6*(1+MARR)^STUDY_PERIOD</f>
        <v>0</v>
      </c>
      <c r="E8" s="22">
        <f>E6*(1+MARR)^STUDY_PERIOD</f>
        <v>0</v>
      </c>
      <c r="F8" s="12">
        <f> PW × (F/P, i, n)</f>
        <v>0</v>
      </c>
    </row>
    <row r="10" spans="2:6">
      <c r="B10" s="15" t="s">
        <v>274</v>
      </c>
      <c r="C10" s="15"/>
      <c r="D10" s="15"/>
      <c r="E10" s="15"/>
      <c r="F10" s="15"/>
    </row>
    <row r="11" spans="2:6">
      <c r="B11" s="5" t="s">
        <v>275</v>
      </c>
      <c r="C11" s="21">
        <v>3.352155098011401</v>
      </c>
      <c r="D11" s="5" t="s">
        <v>276</v>
      </c>
      <c r="E11" s="21">
        <v>0.4971767352982899</v>
      </c>
    </row>
    <row r="12" spans="2:6">
      <c r="B12" s="5" t="s">
        <v>277</v>
      </c>
      <c r="C12" s="21">
        <v>0.2983155524615284</v>
      </c>
      <c r="D12" s="5" t="s">
        <v>278</v>
      </c>
      <c r="E12" s="21">
        <v>2.011357187499999</v>
      </c>
    </row>
  </sheetData>
  <mergeCells count="2">
    <mergeCell ref="B2:F2"/>
    <mergeCell ref="B10:F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F2540"/>
  </sheetPr>
  <dimension ref="B2:I33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38.7109375" customWidth="1"/>
    <col min="3" max="8" width="16.7109375" customWidth="1"/>
  </cols>
  <sheetData>
    <row r="2" spans="2:9">
      <c r="B2" s="1" t="s">
        <v>279</v>
      </c>
      <c r="C2" s="1"/>
      <c r="D2" s="1"/>
      <c r="E2" s="1"/>
      <c r="F2" s="1"/>
      <c r="G2" s="1"/>
      <c r="H2" s="1"/>
    </row>
    <row r="3" spans="2:9">
      <c r="B3" s="2" t="s">
        <v>280</v>
      </c>
    </row>
    <row r="5" spans="2:9">
      <c r="B5" s="4" t="s">
        <v>281</v>
      </c>
      <c r="C5" s="20">
        <v>555000</v>
      </c>
    </row>
    <row r="6" spans="2:9">
      <c r="B6" s="4" t="s">
        <v>282</v>
      </c>
      <c r="C6" s="20">
        <v>10000</v>
      </c>
    </row>
    <row r="9" spans="2:9">
      <c r="B9" s="3" t="s">
        <v>283</v>
      </c>
      <c r="C9" s="3"/>
      <c r="D9" s="3"/>
      <c r="E9" s="3"/>
      <c r="F9" s="3"/>
      <c r="G9" s="3"/>
      <c r="H9" s="3"/>
    </row>
    <row r="10" spans="2:9">
      <c r="B10" s="4" t="s">
        <v>284</v>
      </c>
      <c r="C10" s="20">
        <v>15000</v>
      </c>
    </row>
    <row r="11" spans="2:9">
      <c r="B11" s="4" t="s">
        <v>285</v>
      </c>
      <c r="C11" s="20">
        <v>179000</v>
      </c>
    </row>
    <row r="12" spans="2:9">
      <c r="B12" s="5" t="s">
        <v>286</v>
      </c>
      <c r="C12" s="18">
        <v>0</v>
      </c>
    </row>
    <row r="13" spans="2:9">
      <c r="B13" s="4" t="s">
        <v>287</v>
      </c>
      <c r="C13" s="23">
        <f>C10/C11</f>
        <v>0</v>
      </c>
      <c r="D13" s="7" t="s">
        <v>243</v>
      </c>
      <c r="E13" s="7" t="s">
        <v>244</v>
      </c>
      <c r="F13" s="7" t="s">
        <v>245</v>
      </c>
      <c r="G13" s="7" t="s">
        <v>246</v>
      </c>
      <c r="H13" s="7" t="s">
        <v>247</v>
      </c>
      <c r="I13" s="7" t="s">
        <v>248</v>
      </c>
    </row>
    <row r="14" spans="2:9">
      <c r="B14" s="4" t="s">
        <v>289</v>
      </c>
    </row>
    <row r="15" spans="2:9">
      <c r="B15" s="5" t="s">
        <v>290</v>
      </c>
      <c r="D15" s="18">
        <f>-C10</f>
        <v>0</v>
      </c>
      <c r="E15" s="18">
        <f>C11/(1+MARR)^1</f>
        <v>0</v>
      </c>
      <c r="F15" s="18">
        <f>C11/(1+MARR)^2</f>
        <v>0</v>
      </c>
      <c r="G15" s="18">
        <f>C11/(1+MARR)^3</f>
        <v>0</v>
      </c>
      <c r="H15" s="18">
        <f>C11/(1+MARR)^4</f>
        <v>0</v>
      </c>
      <c r="I15" s="18">
        <f>(C11+C12)/(1+MARR)^5</f>
        <v>0</v>
      </c>
    </row>
    <row r="16" spans="2:9">
      <c r="B16" s="4" t="s">
        <v>291</v>
      </c>
      <c r="D16" s="20">
        <f>D15</f>
        <v>0</v>
      </c>
      <c r="E16" s="20">
        <f>D16+E15</f>
        <v>0</v>
      </c>
      <c r="F16" s="20">
        <f>E16+F15</f>
        <v>0</v>
      </c>
      <c r="G16" s="20">
        <f>F16+G15</f>
        <v>0</v>
      </c>
      <c r="H16" s="20">
        <f>G16+H15</f>
        <v>0</v>
      </c>
      <c r="I16" s="20">
        <f>H16+I15</f>
        <v>0</v>
      </c>
    </row>
    <row r="17" spans="2:9">
      <c r="B17" s="4" t="s">
        <v>292</v>
      </c>
      <c r="C17" s="23">
        <v>0.09636871508379888</v>
      </c>
      <c r="D17" s="5" t="s">
        <v>288</v>
      </c>
    </row>
    <row r="19" spans="2:9">
      <c r="B19" s="3" t="s">
        <v>293</v>
      </c>
      <c r="C19" s="3"/>
      <c r="D19" s="3"/>
      <c r="E19" s="3"/>
      <c r="F19" s="3"/>
      <c r="G19" s="3"/>
      <c r="H19" s="3"/>
    </row>
    <row r="20" spans="2:9">
      <c r="B20" s="4" t="s">
        <v>284</v>
      </c>
      <c r="C20" s="20">
        <v>370000</v>
      </c>
    </row>
    <row r="21" spans="2:9">
      <c r="B21" s="4" t="s">
        <v>285</v>
      </c>
      <c r="C21" s="20">
        <v>330000</v>
      </c>
    </row>
    <row r="22" spans="2:9">
      <c r="B22" s="5" t="s">
        <v>286</v>
      </c>
      <c r="C22" s="18">
        <v>80000</v>
      </c>
    </row>
    <row r="23" spans="2:9">
      <c r="B23" s="4" t="s">
        <v>287</v>
      </c>
      <c r="C23" s="23">
        <f>C20/C21</f>
        <v>0</v>
      </c>
      <c r="D23" s="7" t="s">
        <v>243</v>
      </c>
      <c r="E23" s="7" t="s">
        <v>244</v>
      </c>
      <c r="F23" s="7" t="s">
        <v>245</v>
      </c>
      <c r="G23" s="7" t="s">
        <v>246</v>
      </c>
      <c r="H23" s="7" t="s">
        <v>247</v>
      </c>
      <c r="I23" s="7" t="s">
        <v>248</v>
      </c>
    </row>
    <row r="24" spans="2:9">
      <c r="B24" s="4" t="s">
        <v>289</v>
      </c>
    </row>
    <row r="25" spans="2:9">
      <c r="B25" s="5" t="s">
        <v>290</v>
      </c>
      <c r="D25" s="18">
        <f>-C20</f>
        <v>0</v>
      </c>
      <c r="E25" s="18">
        <f>C21/(1+MARR)^1</f>
        <v>0</v>
      </c>
      <c r="F25" s="18">
        <f>C21/(1+MARR)^2</f>
        <v>0</v>
      </c>
      <c r="G25" s="18">
        <f>C21/(1+MARR)^3</f>
        <v>0</v>
      </c>
      <c r="H25" s="18">
        <f>C21/(1+MARR)^4</f>
        <v>0</v>
      </c>
      <c r="I25" s="18">
        <f>(C21+C22)/(1+MARR)^5</f>
        <v>0</v>
      </c>
    </row>
    <row r="26" spans="2:9">
      <c r="B26" s="4" t="s">
        <v>291</v>
      </c>
      <c r="D26" s="20">
        <f>D25</f>
        <v>0</v>
      </c>
      <c r="E26" s="20">
        <f>D26+E25</f>
        <v>0</v>
      </c>
      <c r="F26" s="20">
        <f>E26+F25</f>
        <v>0</v>
      </c>
      <c r="G26" s="20">
        <f>F26+G25</f>
        <v>0</v>
      </c>
      <c r="H26" s="20">
        <f>G26+H25</f>
        <v>0</v>
      </c>
      <c r="I26" s="20">
        <f>H26+I25</f>
        <v>0</v>
      </c>
    </row>
    <row r="27" spans="2:9">
      <c r="B27" s="4" t="s">
        <v>292</v>
      </c>
      <c r="C27" s="23">
        <v>1.33280303030303</v>
      </c>
      <c r="D27" s="5" t="s">
        <v>288</v>
      </c>
    </row>
    <row r="30" spans="2:9">
      <c r="B30" s="15" t="s">
        <v>294</v>
      </c>
      <c r="C30" s="15"/>
      <c r="D30" s="15"/>
      <c r="E30" s="15"/>
      <c r="F30" s="15"/>
      <c r="G30" s="15"/>
      <c r="H30" s="15"/>
    </row>
    <row r="31" spans="2:9">
      <c r="B31" s="6" t="s">
        <v>242</v>
      </c>
      <c r="C31" s="7">
        <v>0</v>
      </c>
      <c r="D31" s="7">
        <v>1</v>
      </c>
      <c r="E31" s="7">
        <v>2</v>
      </c>
      <c r="F31" s="7">
        <v>3</v>
      </c>
      <c r="G31" s="7">
        <v>4</v>
      </c>
      <c r="H31" s="7">
        <v>5</v>
      </c>
    </row>
    <row r="32" spans="2:9">
      <c r="B32" s="4" t="s">
        <v>295</v>
      </c>
      <c r="C32" s="18">
        <v>-15000</v>
      </c>
      <c r="D32" s="18">
        <v>140652.1739130435</v>
      </c>
      <c r="E32" s="18">
        <v>276001.8903591683</v>
      </c>
      <c r="F32" s="18">
        <v>393697.2959644942</v>
      </c>
      <c r="G32" s="18">
        <v>496041.1269256471</v>
      </c>
      <c r="H32" s="18">
        <v>585035.762544041</v>
      </c>
    </row>
    <row r="33" spans="2:8">
      <c r="B33" s="4" t="s">
        <v>296</v>
      </c>
      <c r="C33" s="18">
        <v>-370000</v>
      </c>
      <c r="D33" s="18">
        <v>-83043.47826086957</v>
      </c>
      <c r="E33" s="18">
        <v>166483.93194707</v>
      </c>
      <c r="F33" s="18">
        <v>383464.2886496261</v>
      </c>
      <c r="G33" s="18">
        <v>572142.8596953271</v>
      </c>
      <c r="H33" s="18">
        <v>775985.321167626</v>
      </c>
    </row>
  </sheetData>
  <mergeCells count="4">
    <mergeCell ref="B2:H2"/>
    <mergeCell ref="B9:H9"/>
    <mergeCell ref="B19:H19"/>
    <mergeCell ref="B30:H30"/>
  </mergeCells>
  <conditionalFormatting sqref="D16:I16">
    <cfRule type="cellIs" dxfId="0" priority="1" operator="greaterThan">
      <formula>0</formula>
    </cfRule>
  </conditionalFormatting>
  <conditionalFormatting sqref="D26:I26"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F2540"/>
  </sheetPr>
  <dimension ref="B2:J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38.7109375" customWidth="1"/>
    <col min="3" max="8" width="16.7109375" customWidth="1"/>
    <col min="10" max="10" width="14.7109375" customWidth="1"/>
  </cols>
  <sheetData>
    <row r="2" spans="2:10">
      <c r="B2" s="1" t="s">
        <v>297</v>
      </c>
      <c r="C2" s="1"/>
      <c r="D2" s="1"/>
      <c r="E2" s="1"/>
      <c r="F2" s="1"/>
      <c r="G2" s="1"/>
      <c r="H2" s="1"/>
    </row>
    <row r="3" spans="2:10">
      <c r="B3" s="2" t="s">
        <v>298</v>
      </c>
    </row>
    <row r="5" spans="2:10">
      <c r="B5" s="6" t="s">
        <v>242</v>
      </c>
      <c r="C5" s="7" t="s">
        <v>243</v>
      </c>
      <c r="D5" s="7" t="s">
        <v>244</v>
      </c>
      <c r="E5" s="7" t="s">
        <v>245</v>
      </c>
      <c r="F5" s="7" t="s">
        <v>246</v>
      </c>
      <c r="G5" s="7" t="s">
        <v>247</v>
      </c>
      <c r="H5" s="7" t="s">
        <v>248</v>
      </c>
      <c r="J5" s="17" t="s">
        <v>300</v>
      </c>
    </row>
    <row r="6" spans="2:10">
      <c r="B6" s="4" t="s">
        <v>299</v>
      </c>
      <c r="C6" s="18">
        <v>-15000</v>
      </c>
      <c r="D6" s="18">
        <v>179000</v>
      </c>
      <c r="E6" s="18">
        <v>179000</v>
      </c>
      <c r="F6" s="18">
        <v>179000</v>
      </c>
      <c r="G6" s="18">
        <v>179000</v>
      </c>
      <c r="H6" s="18">
        <v>179000</v>
      </c>
      <c r="J6" s="24">
        <f>IRR(C6:H6)</f>
        <v>0</v>
      </c>
    </row>
    <row r="7" spans="2:10">
      <c r="B7" s="4" t="s">
        <v>301</v>
      </c>
      <c r="C7" s="18">
        <v>-370000</v>
      </c>
      <c r="D7" s="18">
        <v>330000</v>
      </c>
      <c r="E7" s="18">
        <v>330000</v>
      </c>
      <c r="F7" s="18">
        <v>330000</v>
      </c>
      <c r="G7" s="18">
        <v>330000</v>
      </c>
      <c r="H7" s="18">
        <v>410000</v>
      </c>
      <c r="J7" s="24">
        <f>IRR(C7:H7)</f>
        <v>0</v>
      </c>
    </row>
    <row r="9" spans="2:10">
      <c r="B9" s="3" t="s">
        <v>302</v>
      </c>
      <c r="C9" s="3"/>
      <c r="D9" s="3"/>
      <c r="E9" s="3"/>
      <c r="F9" s="3"/>
      <c r="G9" s="3"/>
      <c r="H9" s="3"/>
      <c r="I9" s="3"/>
      <c r="J9" s="3"/>
    </row>
    <row r="10" spans="2:10">
      <c r="B10" s="6" t="s">
        <v>181</v>
      </c>
      <c r="C10" s="17" t="s">
        <v>300</v>
      </c>
      <c r="D10" s="17" t="s">
        <v>111</v>
      </c>
      <c r="E10" s="7" t="s">
        <v>303</v>
      </c>
      <c r="F10" s="6" t="s">
        <v>304</v>
      </c>
    </row>
    <row r="11" spans="2:10">
      <c r="B11" s="4" t="s">
        <v>305</v>
      </c>
      <c r="C11" s="24">
        <f>J6</f>
        <v>0</v>
      </c>
      <c r="D11" s="25">
        <f>MARR</f>
        <v>0</v>
      </c>
      <c r="E11" s="26">
        <f>IF(J6&gt;MARR,"ACCEPT","REJECT")</f>
        <v>0</v>
      </c>
      <c r="F11" s="5">
        <f>IF(J6&gt;MARR,"IRR exceeds MARR — investment justified","IRR below MARR — do not invest")</f>
        <v>0</v>
      </c>
    </row>
    <row r="12" spans="2:10">
      <c r="B12" s="4" t="s">
        <v>306</v>
      </c>
      <c r="C12" s="24">
        <f>J7</f>
        <v>0</v>
      </c>
      <c r="D12" s="25">
        <f>MARR</f>
        <v>0</v>
      </c>
      <c r="E12" s="26">
        <f>IF(J7&gt;MARR,"ACCEPT","REJECT")</f>
        <v>0</v>
      </c>
      <c r="F12" s="5">
        <f>IF(J7&gt;MARR,"IRR exceeds MARR — investment justified","IRR below MARR — do not invest")</f>
        <v>0</v>
      </c>
    </row>
    <row r="14" spans="2:10">
      <c r="B14" s="10" t="s">
        <v>307</v>
      </c>
      <c r="C14" s="10"/>
      <c r="D14" s="10"/>
      <c r="E14" s="10"/>
      <c r="F14" s="10"/>
    </row>
    <row r="15" spans="2:10">
      <c r="B15" s="10"/>
      <c r="C15" s="10"/>
      <c r="D15" s="10"/>
      <c r="E15" s="10"/>
      <c r="F15" s="10"/>
    </row>
    <row r="16" spans="2:10">
      <c r="B16" s="10"/>
      <c r="C16" s="10"/>
      <c r="D16" s="10"/>
      <c r="E16" s="10"/>
      <c r="F16" s="10"/>
    </row>
  </sheetData>
  <mergeCells count="3">
    <mergeCell ref="B2:H2"/>
    <mergeCell ref="B9:J9"/>
    <mergeCell ref="B14:F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F2540"/>
  </sheetPr>
  <dimension ref="B2:G18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38.7109375" customWidth="1"/>
    <col min="3" max="7" width="22.7109375" customWidth="1"/>
  </cols>
  <sheetData>
    <row r="2" spans="2:7">
      <c r="B2" s="1" t="s">
        <v>308</v>
      </c>
      <c r="C2" s="1"/>
      <c r="D2" s="1"/>
      <c r="E2" s="1"/>
      <c r="F2" s="1"/>
      <c r="G2" s="1"/>
    </row>
    <row r="3" spans="2:7">
      <c r="B3" s="2" t="s">
        <v>309</v>
      </c>
    </row>
    <row r="5" spans="2:7">
      <c r="B5" s="6" t="s">
        <v>265</v>
      </c>
      <c r="C5" s="17" t="s">
        <v>310</v>
      </c>
      <c r="D5" s="17" t="s">
        <v>311</v>
      </c>
      <c r="E5" s="17" t="s">
        <v>312</v>
      </c>
      <c r="F5" s="6" t="s">
        <v>269</v>
      </c>
    </row>
    <row r="6" spans="2:7">
      <c r="B6" s="4" t="s">
        <v>313</v>
      </c>
      <c r="C6" s="20">
        <v>15000</v>
      </c>
      <c r="D6" s="20">
        <v>370000</v>
      </c>
      <c r="E6" s="20">
        <v>355000</v>
      </c>
      <c r="F6" s="12" t="s">
        <v>314</v>
      </c>
    </row>
    <row r="7" spans="2:7">
      <c r="B7" s="4" t="s">
        <v>315</v>
      </c>
      <c r="C7" s="20">
        <v>179000</v>
      </c>
      <c r="D7" s="20">
        <v>330000</v>
      </c>
      <c r="E7" s="20">
        <v>151000</v>
      </c>
      <c r="F7" s="12" t="s">
        <v>316</v>
      </c>
    </row>
    <row r="8" spans="2:7">
      <c r="B8" s="5" t="s">
        <v>317</v>
      </c>
      <c r="C8" s="18">
        <v>0</v>
      </c>
      <c r="D8" s="18">
        <v>80000</v>
      </c>
      <c r="E8" s="18">
        <v>80000</v>
      </c>
    </row>
    <row r="9" spans="2:7">
      <c r="B9" s="4" t="s">
        <v>318</v>
      </c>
      <c r="C9" s="20">
        <v>600035.7625440408</v>
      </c>
      <c r="D9" s="20">
        <v>1145985.321167625</v>
      </c>
      <c r="E9" s="20">
        <v>545949.5586235848</v>
      </c>
      <c r="F9" s="12">
        <f> Annual×(P/A) + Salvage×(P/F)</f>
        <v>0</v>
      </c>
    </row>
    <row r="10" spans="2:7">
      <c r="B10" s="4" t="s">
        <v>319</v>
      </c>
      <c r="C10" s="20">
        <v>15000</v>
      </c>
      <c r="D10" s="20">
        <v>370000</v>
      </c>
      <c r="E10" s="20">
        <v>355000</v>
      </c>
    </row>
    <row r="11" spans="2:7">
      <c r="B11" s="4" t="s">
        <v>320</v>
      </c>
      <c r="C11" s="23">
        <v>40.00238416960272</v>
      </c>
      <c r="D11" s="23">
        <v>3.097257624777366</v>
      </c>
      <c r="E11" s="23">
        <v>1.537886080629816</v>
      </c>
      <c r="F11" s="12">
        <f> PW(Benefits) ÷ PW(Costs)</f>
        <v>0</v>
      </c>
    </row>
    <row r="12" spans="2:7">
      <c r="B12" s="5" t="s">
        <v>321</v>
      </c>
      <c r="C12" s="21">
        <v>40.00238416960272</v>
      </c>
      <c r="D12" s="21">
        <v>3.097257624777366</v>
      </c>
      <c r="E12" s="21">
        <v>1.537886080629816</v>
      </c>
      <c r="F12" s="12" t="s">
        <v>322</v>
      </c>
    </row>
    <row r="13" spans="2:7">
      <c r="B13" s="4" t="s">
        <v>323</v>
      </c>
      <c r="C13" s="26" t="s">
        <v>324</v>
      </c>
      <c r="D13" s="26" t="s">
        <v>324</v>
      </c>
      <c r="E13" s="26" t="s">
        <v>324</v>
      </c>
    </row>
    <row r="15" spans="2:7">
      <c r="B15" s="10" t="s">
        <v>325</v>
      </c>
      <c r="C15" s="10"/>
      <c r="D15" s="10"/>
      <c r="E15" s="10"/>
      <c r="F15" s="10"/>
    </row>
    <row r="16" spans="2:7">
      <c r="B16" s="10"/>
      <c r="C16" s="10"/>
      <c r="D16" s="10"/>
      <c r="E16" s="10"/>
      <c r="F16" s="10"/>
    </row>
    <row r="17" spans="2:6">
      <c r="B17" s="10"/>
      <c r="C17" s="10"/>
      <c r="D17" s="10"/>
      <c r="E17" s="10"/>
      <c r="F17" s="10"/>
    </row>
    <row r="18" spans="2:6">
      <c r="B18" s="10"/>
      <c r="C18" s="10"/>
      <c r="D18" s="10"/>
      <c r="E18" s="10"/>
      <c r="F18" s="10"/>
    </row>
  </sheetData>
  <mergeCells count="2">
    <mergeCell ref="B2:G2"/>
    <mergeCell ref="B15:F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F2540"/>
  </sheetPr>
  <dimension ref="B2:F28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42.7109375" customWidth="1"/>
    <col min="3" max="6" width="22.7109375" customWidth="1"/>
  </cols>
  <sheetData>
    <row r="2" spans="2:6">
      <c r="B2" s="1" t="s">
        <v>326</v>
      </c>
      <c r="C2" s="1"/>
      <c r="D2" s="1"/>
      <c r="E2" s="1"/>
      <c r="F2" s="1"/>
    </row>
    <row r="3" spans="2:6">
      <c r="B3" s="2" t="s">
        <v>327</v>
      </c>
    </row>
    <row r="5" spans="2:6">
      <c r="B5" s="3" t="s">
        <v>328</v>
      </c>
      <c r="C5" s="3"/>
      <c r="D5" s="3"/>
      <c r="E5" s="3"/>
      <c r="F5" s="3"/>
    </row>
    <row r="6" spans="2:6">
      <c r="B6" s="12" t="s">
        <v>329</v>
      </c>
    </row>
    <row r="7" spans="2:6">
      <c r="B7" s="4" t="s">
        <v>330</v>
      </c>
      <c r="C7" s="20">
        <v>165000</v>
      </c>
    </row>
    <row r="8" spans="2:6">
      <c r="B8" s="4" t="s">
        <v>331</v>
      </c>
      <c r="C8" s="20">
        <v>225000</v>
      </c>
    </row>
    <row r="9" spans="2:6">
      <c r="B9" s="4" t="s">
        <v>332</v>
      </c>
      <c r="C9" s="20">
        <v>326494.6657384585</v>
      </c>
    </row>
    <row r="10" spans="2:6">
      <c r="B10" s="4" t="s">
        <v>333</v>
      </c>
      <c r="C10" s="22">
        <v>52837.17007128108</v>
      </c>
      <c r="D10" s="12" t="s">
        <v>334</v>
      </c>
      <c r="E10" s="13" t="s">
        <v>335</v>
      </c>
    </row>
    <row r="11" spans="2:6">
      <c r="B11" s="4" t="s">
        <v>336</v>
      </c>
      <c r="C11" s="10" t="s">
        <v>337</v>
      </c>
      <c r="D11" s="10"/>
      <c r="E11" s="10"/>
      <c r="F11" s="10"/>
    </row>
    <row r="13" spans="2:6">
      <c r="B13" s="3" t="s">
        <v>338</v>
      </c>
      <c r="C13" s="3"/>
      <c r="D13" s="3"/>
      <c r="E13" s="3"/>
      <c r="F13" s="3"/>
    </row>
    <row r="14" spans="2:6">
      <c r="B14" s="4" t="s">
        <v>339</v>
      </c>
      <c r="C14" s="18">
        <v>50000</v>
      </c>
      <c r="E14" s="13" t="s">
        <v>340</v>
      </c>
    </row>
    <row r="15" spans="2:6">
      <c r="B15" s="4" t="s">
        <v>341</v>
      </c>
      <c r="C15" s="18">
        <v>480000</v>
      </c>
    </row>
    <row r="16" spans="2:6">
      <c r="B16" s="4" t="s">
        <v>342</v>
      </c>
      <c r="C16" s="23">
        <v>-3.129769795723135</v>
      </c>
      <c r="D16" s="5" t="s">
        <v>343</v>
      </c>
    </row>
    <row r="17" spans="2:6">
      <c r="B17" s="4" t="s">
        <v>336</v>
      </c>
      <c r="C17" s="10" t="s">
        <v>344</v>
      </c>
      <c r="D17" s="10"/>
      <c r="E17" s="10"/>
      <c r="F17" s="10"/>
    </row>
    <row r="19" spans="2:6">
      <c r="B19" s="3" t="s">
        <v>345</v>
      </c>
      <c r="C19" s="3"/>
      <c r="D19" s="3"/>
      <c r="E19" s="3"/>
      <c r="F19" s="3"/>
    </row>
    <row r="20" spans="2:6">
      <c r="B20" s="12" t="s">
        <v>346</v>
      </c>
    </row>
    <row r="21" spans="2:6">
      <c r="B21" s="4" t="s">
        <v>347</v>
      </c>
      <c r="C21" s="24">
        <v>0.8602001226515239</v>
      </c>
      <c r="D21" s="12" t="s">
        <v>348</v>
      </c>
    </row>
    <row r="22" spans="2:6">
      <c r="B22" s="5" t="s">
        <v>349</v>
      </c>
      <c r="C22" s="25">
        <f>MARR</f>
        <v>0</v>
      </c>
    </row>
    <row r="23" spans="2:6">
      <c r="B23" s="4" t="s">
        <v>350</v>
      </c>
      <c r="C23" s="24">
        <f>C21-C22</f>
        <v>0</v>
      </c>
      <c r="D23" s="10" t="s">
        <v>351</v>
      </c>
      <c r="E23" s="10"/>
      <c r="F23" s="10"/>
    </row>
    <row r="25" spans="2:6">
      <c r="B25" s="3" t="s">
        <v>352</v>
      </c>
      <c r="C25" s="3"/>
      <c r="D25" s="3"/>
      <c r="E25" s="3"/>
      <c r="F25" s="3"/>
    </row>
    <row r="26" spans="2:6">
      <c r="B26" s="12" t="s">
        <v>353</v>
      </c>
    </row>
    <row r="27" spans="2:6">
      <c r="B27" s="4" t="s">
        <v>354</v>
      </c>
      <c r="C27" s="22">
        <v>-47872122.44653919</v>
      </c>
      <c r="D27" s="12" t="s">
        <v>355</v>
      </c>
    </row>
    <row r="28" spans="2:6">
      <c r="B28" s="5" t="s">
        <v>356</v>
      </c>
      <c r="C28" s="18">
        <f>ACTIVE_VALUE</f>
        <v>0</v>
      </c>
      <c r="D28" s="10" t="s">
        <v>357</v>
      </c>
      <c r="E28" s="10"/>
      <c r="F28" s="10"/>
    </row>
  </sheetData>
  <mergeCells count="9">
    <mergeCell ref="B2:F2"/>
    <mergeCell ref="B5:F5"/>
    <mergeCell ref="C11:F11"/>
    <mergeCell ref="B13:F13"/>
    <mergeCell ref="C17:F17"/>
    <mergeCell ref="B19:F19"/>
    <mergeCell ref="D23:F23"/>
    <mergeCell ref="B25:F25"/>
    <mergeCell ref="D28:F28"/>
  </mergeCells>
  <hyperlinks>
    <hyperlink ref="E10" r:id="rId1"/>
    <hyperlink ref="E14" r:id="rId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F2540"/>
  </sheetPr>
  <dimension ref="B2:H4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30.7109375" customWidth="1"/>
    <col min="3" max="8" width="18.7109375" customWidth="1"/>
  </cols>
  <sheetData>
    <row r="2" spans="2:8">
      <c r="B2" s="1" t="s">
        <v>358</v>
      </c>
      <c r="C2" s="1"/>
      <c r="D2" s="1"/>
      <c r="E2" s="1"/>
      <c r="F2" s="1"/>
      <c r="G2" s="1"/>
      <c r="H2" s="1"/>
    </row>
    <row r="3" spans="2:8">
      <c r="B3" s="2" t="s">
        <v>359</v>
      </c>
    </row>
    <row r="5" spans="2:8">
      <c r="B5" s="6" t="s">
        <v>360</v>
      </c>
      <c r="C5" s="17" t="s">
        <v>361</v>
      </c>
      <c r="D5" s="17" t="s">
        <v>362</v>
      </c>
      <c r="E5" s="17" t="s">
        <v>363</v>
      </c>
      <c r="F5" s="17" t="s">
        <v>364</v>
      </c>
    </row>
    <row r="6" spans="2:8">
      <c r="B6" s="4" t="s">
        <v>365</v>
      </c>
      <c r="C6" s="18">
        <v>-943613.7788181889</v>
      </c>
      <c r="D6" s="18">
        <v>-1094460.758228702</v>
      </c>
      <c r="E6" s="18">
        <v>-1245307.737639215</v>
      </c>
      <c r="F6" s="18">
        <v>301693.9588210264</v>
      </c>
    </row>
    <row r="7" spans="2:8">
      <c r="B7" s="4" t="s">
        <v>366</v>
      </c>
      <c r="C7" s="18">
        <v>-1183253.317272169</v>
      </c>
      <c r="D7" s="18">
        <v>-1094460.758228702</v>
      </c>
      <c r="E7" s="18">
        <v>-1020737.525720164</v>
      </c>
      <c r="F7" s="18">
        <v>162515.7915520046</v>
      </c>
    </row>
    <row r="8" spans="2:8">
      <c r="B8" s="4" t="s">
        <v>367</v>
      </c>
      <c r="C8" s="18">
        <v>-1018460.758228702</v>
      </c>
      <c r="D8" s="18">
        <v>-1094460.758228702</v>
      </c>
      <c r="E8" s="18">
        <v>-1170460.758228702</v>
      </c>
      <c r="F8" s="18">
        <v>152000.0000000001</v>
      </c>
    </row>
    <row r="9" spans="2:8">
      <c r="B9" s="4" t="s">
        <v>368</v>
      </c>
      <c r="C9" s="18">
        <v>-1069319.594993616</v>
      </c>
      <c r="D9" s="18">
        <v>-1094460.758228702</v>
      </c>
      <c r="E9" s="18">
        <v>-1119601.921463788</v>
      </c>
      <c r="F9" s="18">
        <v>50282.3264701711</v>
      </c>
    </row>
    <row r="10" spans="2:8">
      <c r="B10" s="4" t="s">
        <v>369</v>
      </c>
      <c r="C10" s="18">
        <v>-1114347.827640634</v>
      </c>
      <c r="D10" s="18">
        <v>-1094460.758228702</v>
      </c>
      <c r="E10" s="18">
        <v>-1074573.68881677</v>
      </c>
      <c r="F10" s="18">
        <v>39774.13882386312</v>
      </c>
    </row>
    <row r="11" spans="2:8">
      <c r="B11" s="15" t="s">
        <v>370</v>
      </c>
      <c r="C11" s="15"/>
      <c r="D11" s="15"/>
      <c r="E11" s="15"/>
      <c r="F11" s="15"/>
    </row>
    <row r="12" spans="2:8">
      <c r="B12" s="6" t="s">
        <v>360</v>
      </c>
      <c r="C12" s="17" t="s">
        <v>371</v>
      </c>
      <c r="D12" s="17" t="s">
        <v>372</v>
      </c>
    </row>
    <row r="13" spans="2:8">
      <c r="B13" s="5" t="s">
        <v>365</v>
      </c>
      <c r="C13" s="18">
        <v>150846.9794105131</v>
      </c>
      <c r="D13" s="18">
        <v>-150846.9794105133</v>
      </c>
    </row>
    <row r="14" spans="2:8">
      <c r="B14" s="5" t="s">
        <v>366</v>
      </c>
      <c r="C14" s="18">
        <v>-88792.55904346704</v>
      </c>
      <c r="D14" s="18">
        <v>73723.23250853759</v>
      </c>
    </row>
    <row r="15" spans="2:8">
      <c r="B15" s="5" t="s">
        <v>367</v>
      </c>
      <c r="C15" s="18">
        <v>76000.00000000012</v>
      </c>
      <c r="D15" s="18">
        <v>-76000</v>
      </c>
    </row>
    <row r="16" spans="2:8">
      <c r="B16" s="5" t="s">
        <v>368</v>
      </c>
      <c r="C16" s="18">
        <v>25141.16323508555</v>
      </c>
      <c r="D16" s="18">
        <v>-25141.16323508555</v>
      </c>
    </row>
    <row r="17" spans="2:4">
      <c r="B17" s="5" t="s">
        <v>369</v>
      </c>
      <c r="C17" s="18">
        <v>-19887.06941193156</v>
      </c>
      <c r="D17" s="18">
        <v>19887.06941193156</v>
      </c>
    </row>
    <row r="40" spans="2:6">
      <c r="B40" s="3" t="s">
        <v>373</v>
      </c>
      <c r="C40" s="3"/>
      <c r="D40" s="3"/>
      <c r="E40" s="3"/>
      <c r="F40" s="3"/>
    </row>
    <row r="41" spans="2:6">
      <c r="B41" s="6" t="s">
        <v>374</v>
      </c>
      <c r="C41" s="17" t="s">
        <v>375</v>
      </c>
      <c r="D41" s="17" t="s">
        <v>376</v>
      </c>
      <c r="E41" s="17" t="s">
        <v>377</v>
      </c>
      <c r="F41" s="7" t="s">
        <v>378</v>
      </c>
    </row>
    <row r="42" spans="2:6">
      <c r="B42" s="4" t="s">
        <v>379</v>
      </c>
      <c r="C42" s="18">
        <v>-2242535.295275593</v>
      </c>
      <c r="D42" s="18">
        <v>-1537492.380222744</v>
      </c>
      <c r="E42" s="22">
        <v>-1265194.807051147</v>
      </c>
      <c r="F42" s="26" t="s">
        <v>380</v>
      </c>
    </row>
    <row r="43" spans="2:6">
      <c r="B43" s="4" t="s">
        <v>381</v>
      </c>
      <c r="C43" s="18">
        <v>-1870446.079396327</v>
      </c>
      <c r="D43" s="18">
        <v>-1285410.316852287</v>
      </c>
      <c r="E43" s="22">
        <v>-1094460.758228702</v>
      </c>
      <c r="F43" s="26" t="s">
        <v>380</v>
      </c>
    </row>
    <row r="44" spans="2:6">
      <c r="B44" s="4" t="s">
        <v>382</v>
      </c>
      <c r="C44" s="18">
        <v>-1498356.863517062</v>
      </c>
      <c r="D44" s="18">
        <v>-1033328.253481829</v>
      </c>
      <c r="E44" s="22">
        <v>-923726.7094062574</v>
      </c>
      <c r="F44" s="26" t="s">
        <v>380</v>
      </c>
    </row>
  </sheetData>
  <mergeCells count="3">
    <mergeCell ref="B2:H2"/>
    <mergeCell ref="B11:F11"/>
    <mergeCell ref="B40:F4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19C37D"/>
  </sheetPr>
  <dimension ref="B2:F3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32.7109375" customWidth="1"/>
    <col min="3" max="5" width="22.7109375" customWidth="1"/>
    <col min="6" max="6" width="50.7109375" customWidth="1"/>
  </cols>
  <sheetData>
    <row r="2" spans="2:6">
      <c r="B2" s="1" t="s">
        <v>383</v>
      </c>
      <c r="C2" s="1"/>
      <c r="D2" s="1"/>
      <c r="E2" s="1"/>
      <c r="F2" s="1"/>
    </row>
    <row r="3" spans="2:6">
      <c r="B3" s="2" t="s">
        <v>384</v>
      </c>
    </row>
    <row r="5" spans="2:6">
      <c r="B5" s="27" t="s">
        <v>385</v>
      </c>
      <c r="C5" s="27"/>
      <c r="D5" s="27"/>
      <c r="E5" s="27"/>
      <c r="F5" s="27"/>
    </row>
    <row r="6" spans="2:6">
      <c r="B6" s="27"/>
      <c r="C6" s="27"/>
      <c r="D6" s="27"/>
      <c r="E6" s="27"/>
      <c r="F6" s="27"/>
    </row>
    <row r="9" spans="2:6">
      <c r="B9" s="3" t="s">
        <v>386</v>
      </c>
      <c r="C9" s="3"/>
      <c r="D9" s="3"/>
      <c r="E9" s="3"/>
      <c r="F9" s="3"/>
    </row>
    <row r="10" spans="2:6">
      <c r="B10" s="6" t="s">
        <v>387</v>
      </c>
      <c r="C10" s="17" t="s">
        <v>266</v>
      </c>
      <c r="D10" s="17" t="s">
        <v>267</v>
      </c>
      <c r="E10" s="17" t="s">
        <v>268</v>
      </c>
      <c r="F10" s="6" t="s">
        <v>388</v>
      </c>
    </row>
    <row r="11" spans="2:6">
      <c r="B11" s="4" t="s">
        <v>182</v>
      </c>
      <c r="C11" s="18">
        <v>10000</v>
      </c>
      <c r="D11" s="18">
        <v>25000</v>
      </c>
      <c r="E11" s="18">
        <v>380000</v>
      </c>
      <c r="F11" s="5"/>
    </row>
    <row r="12" spans="2:6">
      <c r="B12" s="4" t="s">
        <v>183</v>
      </c>
      <c r="C12" s="18">
        <v>555000</v>
      </c>
      <c r="D12" s="18">
        <v>376000</v>
      </c>
      <c r="E12" s="18">
        <v>225000</v>
      </c>
      <c r="F12" s="5"/>
    </row>
    <row r="13" spans="2:6">
      <c r="B13" s="4" t="s">
        <v>256</v>
      </c>
      <c r="C13" s="18">
        <v>0</v>
      </c>
      <c r="D13" s="18">
        <v>0</v>
      </c>
      <c r="E13" s="18">
        <v>80000</v>
      </c>
      <c r="F13" s="5"/>
    </row>
    <row r="14" spans="2:6">
      <c r="B14" s="4" t="s">
        <v>389</v>
      </c>
      <c r="C14" s="20">
        <v>-1870446.079396327</v>
      </c>
      <c r="D14" s="20">
        <v>-1285410.316852287</v>
      </c>
      <c r="E14" s="22">
        <v>-1094460.758228702</v>
      </c>
      <c r="F14" s="5"/>
    </row>
    <row r="15" spans="2:6">
      <c r="B15" s="4" t="s">
        <v>390</v>
      </c>
      <c r="C15" s="20">
        <v>-557983.1555246152</v>
      </c>
      <c r="D15" s="20">
        <v>-383457.8888115382</v>
      </c>
      <c r="E15" s="20">
        <v>-326494.6657384585</v>
      </c>
      <c r="F15" s="5"/>
    </row>
    <row r="16" spans="2:6">
      <c r="B16" s="4" t="s">
        <v>391</v>
      </c>
      <c r="C16" s="20">
        <v>-3762135.165624998</v>
      </c>
      <c r="D16" s="20">
        <v>-2585419.279687498</v>
      </c>
      <c r="E16" s="20">
        <v>-2201351.512499999</v>
      </c>
      <c r="F16" s="5"/>
    </row>
    <row r="18" spans="2:6">
      <c r="B18" s="3" t="s">
        <v>392</v>
      </c>
      <c r="C18" s="3"/>
      <c r="D18" s="3"/>
      <c r="E18" s="3"/>
      <c r="F18" s="3"/>
    </row>
    <row r="19" spans="2:6">
      <c r="B19" s="4" t="s">
        <v>287</v>
      </c>
      <c r="C19" s="23">
        <v>1.121212121212121</v>
      </c>
      <c r="D19" s="5" t="s">
        <v>288</v>
      </c>
      <c r="E19" s="5"/>
      <c r="F19" s="5"/>
    </row>
    <row r="20" spans="2:6">
      <c r="B20" s="4" t="s">
        <v>393</v>
      </c>
      <c r="C20" s="24">
        <v>0.8602001226515239</v>
      </c>
      <c r="D20" s="5" t="s">
        <v>394</v>
      </c>
      <c r="E20" s="5"/>
      <c r="F20" s="5"/>
    </row>
    <row r="21" spans="2:6">
      <c r="B21" s="4" t="s">
        <v>395</v>
      </c>
      <c r="C21" s="23">
        <v>3.097257624777366</v>
      </c>
      <c r="D21" s="5" t="s">
        <v>396</v>
      </c>
      <c r="E21" s="5"/>
      <c r="F21" s="5"/>
    </row>
    <row r="22" spans="2:6">
      <c r="B22" s="4" t="s">
        <v>397</v>
      </c>
      <c r="C22" s="20">
        <v>330000</v>
      </c>
      <c r="D22" s="5" t="s">
        <v>398</v>
      </c>
      <c r="E22" s="5"/>
      <c r="F22" s="5"/>
    </row>
    <row r="24" spans="2:6">
      <c r="B24" s="3" t="s">
        <v>399</v>
      </c>
      <c r="C24" s="3"/>
      <c r="D24" s="3"/>
      <c r="E24" s="3"/>
      <c r="F24" s="3"/>
    </row>
    <row r="25" spans="2:6">
      <c r="B25" s="10" t="s">
        <v>400</v>
      </c>
      <c r="C25" s="10"/>
      <c r="D25" s="10"/>
      <c r="E25" s="10"/>
      <c r="F25" s="10"/>
    </row>
    <row r="26" spans="2:6">
      <c r="B26" s="10"/>
      <c r="C26" s="10"/>
      <c r="D26" s="10"/>
      <c r="E26" s="10"/>
      <c r="F26" s="10"/>
    </row>
    <row r="27" spans="2:6">
      <c r="B27" s="10"/>
      <c r="C27" s="10"/>
      <c r="D27" s="10"/>
      <c r="E27" s="10"/>
      <c r="F27" s="10"/>
    </row>
    <row r="28" spans="2:6">
      <c r="B28" s="10"/>
      <c r="C28" s="10"/>
      <c r="D28" s="10"/>
      <c r="E28" s="10"/>
      <c r="F28" s="10"/>
    </row>
    <row r="29" spans="2:6">
      <c r="B29" s="10"/>
      <c r="C29" s="10"/>
      <c r="D29" s="10"/>
      <c r="E29" s="10"/>
      <c r="F29" s="10"/>
    </row>
    <row r="30" spans="2:6">
      <c r="B30" s="10"/>
      <c r="C30" s="10"/>
      <c r="D30" s="10"/>
      <c r="E30" s="10"/>
      <c r="F30" s="10"/>
    </row>
  </sheetData>
  <mergeCells count="10">
    <mergeCell ref="B2:F2"/>
    <mergeCell ref="B5:F6"/>
    <mergeCell ref="B9:F9"/>
    <mergeCell ref="B18:F18"/>
    <mergeCell ref="D19:F19"/>
    <mergeCell ref="D20:F20"/>
    <mergeCell ref="D21:F21"/>
    <mergeCell ref="D22:F22"/>
    <mergeCell ref="B24:F24"/>
    <mergeCell ref="B25:F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6B7280"/>
  </sheetPr>
  <dimension ref="B2:G2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2.7109375" customWidth="1"/>
    <col min="2" max="2" width="8.7109375" customWidth="1"/>
    <col min="3" max="3" width="24.7109375" customWidth="1"/>
    <col min="4" max="4" width="60.7109375" customWidth="1"/>
    <col min="5" max="5" width="22.7109375" customWidth="1"/>
    <col min="6" max="6" width="70.7109375" customWidth="1"/>
    <col min="7" max="7" width="60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2" t="s">
        <v>1</v>
      </c>
    </row>
    <row r="5" spans="2:7">
      <c r="B5" s="7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</row>
    <row r="6" spans="2:7">
      <c r="B6" s="8">
        <v>1</v>
      </c>
      <c r="C6" s="4" t="s">
        <v>8</v>
      </c>
      <c r="D6" s="5" t="s">
        <v>9</v>
      </c>
      <c r="E6" s="5" t="s">
        <v>10</v>
      </c>
      <c r="F6" s="13" t="s">
        <v>11</v>
      </c>
      <c r="G6" s="12" t="s">
        <v>12</v>
      </c>
    </row>
    <row r="7" spans="2:7">
      <c r="B7" s="8">
        <v>2</v>
      </c>
      <c r="C7" s="4" t="s">
        <v>13</v>
      </c>
      <c r="D7" s="5" t="s">
        <v>14</v>
      </c>
      <c r="E7" s="5" t="s">
        <v>10</v>
      </c>
      <c r="F7" s="13" t="s">
        <v>15</v>
      </c>
      <c r="G7" s="12" t="s">
        <v>16</v>
      </c>
    </row>
    <row r="8" spans="2:7">
      <c r="B8" s="8">
        <v>3</v>
      </c>
      <c r="C8" s="4" t="s">
        <v>17</v>
      </c>
      <c r="D8" s="5" t="s">
        <v>18</v>
      </c>
      <c r="E8" s="5" t="s">
        <v>10</v>
      </c>
      <c r="F8" s="13" t="s">
        <v>19</v>
      </c>
      <c r="G8" s="12" t="s">
        <v>20</v>
      </c>
    </row>
    <row r="9" spans="2:7">
      <c r="B9" s="8">
        <v>4</v>
      </c>
      <c r="C9" s="4" t="s">
        <v>21</v>
      </c>
      <c r="D9" s="5" t="s">
        <v>22</v>
      </c>
      <c r="E9" s="5" t="s">
        <v>23</v>
      </c>
      <c r="F9" s="13" t="s">
        <v>24</v>
      </c>
      <c r="G9" s="12" t="s">
        <v>25</v>
      </c>
    </row>
    <row r="10" spans="2:7">
      <c r="B10" s="8">
        <v>5</v>
      </c>
      <c r="C10" s="4" t="s">
        <v>26</v>
      </c>
      <c r="D10" s="5" t="s">
        <v>27</v>
      </c>
      <c r="E10" s="5" t="s">
        <v>28</v>
      </c>
      <c r="F10" s="13" t="s">
        <v>29</v>
      </c>
      <c r="G10" s="12" t="s">
        <v>30</v>
      </c>
    </row>
    <row r="11" spans="2:7">
      <c r="B11" s="8">
        <v>6</v>
      </c>
      <c r="C11" s="4" t="s">
        <v>31</v>
      </c>
      <c r="D11" s="5" t="s">
        <v>32</v>
      </c>
      <c r="E11" s="5" t="s">
        <v>33</v>
      </c>
      <c r="F11" s="13" t="s">
        <v>34</v>
      </c>
      <c r="G11" s="12" t="s">
        <v>35</v>
      </c>
    </row>
    <row r="12" spans="2:7">
      <c r="B12" s="8">
        <v>7</v>
      </c>
      <c r="C12" s="4" t="s">
        <v>36</v>
      </c>
      <c r="D12" s="5" t="s">
        <v>37</v>
      </c>
      <c r="E12" s="5" t="s">
        <v>38</v>
      </c>
      <c r="F12" s="13" t="s">
        <v>39</v>
      </c>
      <c r="G12" s="12" t="s">
        <v>40</v>
      </c>
    </row>
    <row r="13" spans="2:7">
      <c r="B13" s="8">
        <v>8</v>
      </c>
      <c r="C13" s="4" t="s">
        <v>41</v>
      </c>
      <c r="D13" s="5" t="s">
        <v>42</v>
      </c>
      <c r="E13" s="5" t="s">
        <v>43</v>
      </c>
      <c r="F13" s="13" t="s">
        <v>44</v>
      </c>
      <c r="G13" s="12" t="s">
        <v>45</v>
      </c>
    </row>
    <row r="14" spans="2:7">
      <c r="B14" s="8">
        <v>9</v>
      </c>
      <c r="C14" s="4" t="s">
        <v>46</v>
      </c>
      <c r="D14" s="5" t="s">
        <v>47</v>
      </c>
      <c r="E14" s="5" t="s">
        <v>48</v>
      </c>
      <c r="F14" s="13" t="s">
        <v>49</v>
      </c>
      <c r="G14" s="12" t="s">
        <v>50</v>
      </c>
    </row>
    <row r="15" spans="2:7">
      <c r="B15" s="8">
        <v>10</v>
      </c>
      <c r="C15" s="4" t="s">
        <v>51</v>
      </c>
      <c r="D15" s="5" t="s">
        <v>52</v>
      </c>
      <c r="E15" s="5" t="s">
        <v>53</v>
      </c>
      <c r="F15" s="13" t="s">
        <v>54</v>
      </c>
      <c r="G15" s="12" t="s">
        <v>55</v>
      </c>
    </row>
    <row r="16" spans="2:7">
      <c r="B16" s="8">
        <v>11</v>
      </c>
      <c r="C16" s="4" t="s">
        <v>56</v>
      </c>
      <c r="D16" s="5" t="s">
        <v>57</v>
      </c>
      <c r="E16" s="5" t="s">
        <v>58</v>
      </c>
      <c r="F16" s="13" t="s">
        <v>59</v>
      </c>
      <c r="G16" s="12" t="s">
        <v>60</v>
      </c>
    </row>
    <row r="17" spans="2:7">
      <c r="B17" s="8">
        <v>12</v>
      </c>
      <c r="C17" s="4" t="s">
        <v>61</v>
      </c>
      <c r="D17" s="5" t="s">
        <v>62</v>
      </c>
      <c r="E17" s="5" t="s">
        <v>63</v>
      </c>
      <c r="F17" s="13" t="s">
        <v>64</v>
      </c>
      <c r="G17" s="12" t="s">
        <v>65</v>
      </c>
    </row>
    <row r="18" spans="2:7">
      <c r="B18" s="8">
        <v>13</v>
      </c>
      <c r="C18" s="4" t="s">
        <v>66</v>
      </c>
      <c r="D18" s="5" t="s">
        <v>67</v>
      </c>
      <c r="E18" s="5" t="s">
        <v>68</v>
      </c>
      <c r="F18" s="13" t="s">
        <v>69</v>
      </c>
      <c r="G18" s="12" t="s">
        <v>70</v>
      </c>
    </row>
    <row r="19" spans="2:7">
      <c r="B19" s="8">
        <v>14</v>
      </c>
      <c r="C19" s="4" t="s">
        <v>71</v>
      </c>
      <c r="D19" s="5" t="s">
        <v>72</v>
      </c>
      <c r="E19" s="5" t="s">
        <v>73</v>
      </c>
      <c r="F19" s="13" t="s">
        <v>74</v>
      </c>
      <c r="G19" s="12" t="s">
        <v>75</v>
      </c>
    </row>
    <row r="20" spans="2:7">
      <c r="B20" s="8">
        <v>15</v>
      </c>
      <c r="C20" s="4" t="s">
        <v>76</v>
      </c>
      <c r="D20" s="5" t="s">
        <v>77</v>
      </c>
      <c r="E20" s="5" t="s">
        <v>78</v>
      </c>
      <c r="F20" s="13" t="s">
        <v>79</v>
      </c>
      <c r="G20" s="12" t="s">
        <v>80</v>
      </c>
    </row>
    <row r="21" spans="2:7">
      <c r="B21" s="8">
        <v>16</v>
      </c>
      <c r="C21" s="4" t="s">
        <v>81</v>
      </c>
      <c r="D21" s="5" t="s">
        <v>82</v>
      </c>
      <c r="E21" s="5" t="s">
        <v>83</v>
      </c>
      <c r="F21" s="13" t="s">
        <v>84</v>
      </c>
      <c r="G21" s="12" t="s">
        <v>85</v>
      </c>
    </row>
    <row r="22" spans="2:7">
      <c r="B22" s="8">
        <v>17</v>
      </c>
      <c r="C22" s="4" t="s">
        <v>86</v>
      </c>
      <c r="D22" s="5" t="s">
        <v>87</v>
      </c>
      <c r="E22" s="5" t="s">
        <v>88</v>
      </c>
      <c r="F22" s="13" t="s">
        <v>89</v>
      </c>
      <c r="G22" s="12" t="s">
        <v>90</v>
      </c>
    </row>
    <row r="23" spans="2:7">
      <c r="B23" s="8">
        <v>18</v>
      </c>
      <c r="C23" s="4" t="s">
        <v>91</v>
      </c>
      <c r="D23" s="5" t="s">
        <v>92</v>
      </c>
      <c r="E23" s="5" t="s">
        <v>93</v>
      </c>
      <c r="F23" s="13" t="s">
        <v>94</v>
      </c>
      <c r="G23" s="12" t="s">
        <v>95</v>
      </c>
    </row>
  </sheetData>
  <mergeCells count="1">
    <mergeCell ref="B2:G2"/>
  </mergeCells>
  <hyperlinks>
    <hyperlink ref="F6" r:id="rId1"/>
    <hyperlink ref="F7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01. Cover</vt:lpstr>
      <vt:lpstr>02. Assumptions</vt:lpstr>
      <vt:lpstr>03. Initial Investment</vt:lpstr>
      <vt:lpstr>04. Annual Cost</vt:lpstr>
      <vt:lpstr>05. CF — Alt 1 Manual</vt:lpstr>
      <vt:lpstr>06. CF — Alt 2 SaaS</vt:lpstr>
      <vt:lpstr>07. CF — Alt 3 In-House</vt:lpstr>
      <vt:lpstr>08. PW · AW · FW</vt:lpstr>
      <vt:lpstr>09. Payback</vt:lpstr>
      <vt:lpstr>10. IRR · ROR</vt:lpstr>
      <vt:lpstr>11. B over C</vt:lpstr>
      <vt:lpstr>12. Break-Even</vt:lpstr>
      <vt:lpstr>13. Sensitivity</vt:lpstr>
      <vt:lpstr>14. Recommendation</vt:lpstr>
      <vt:lpstr>15. Sources</vt:lpstr>
      <vt:lpstr>ACTIVE_VALUE</vt:lpstr>
      <vt:lpstr>MARR</vt:lpstr>
      <vt:lpstr>PROJECT_VALUE</vt:lpstr>
      <vt:lpstr>STUDY_PERIOD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2026-05-13T20:08:47Z</dcterms:created>
  <dcterms:modified xsi:type="dcterms:W3CDTF">2026-05-13T20:08:47Z</dcterms:modified>
</cp:coreProperties>
</file>