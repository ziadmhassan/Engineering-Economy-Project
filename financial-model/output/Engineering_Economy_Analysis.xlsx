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10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8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colors5.xml" ContentType="application/vnd.ms-office.chartcolorstyle+xml"/>
  <Override PartName="/xl/charts/style5.xml" ContentType="application/vnd.ms-office.chartstyle+xml"/>
  <Override PartName="/xl/charts/colors3.xml" ContentType="application/vnd.ms-office.chartcolorstyle+xml"/>
  <Override PartName="/xl/charts/style1.xml" ContentType="application/vnd.ms-office.chartstyle+xml"/>
  <Override PartName="/xl/charts/chart1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3.xml" ContentType="application/vnd.openxmlformats-officedocument.drawingml.chart+xml"/>
  <Override PartName="/xl/charts/chart2.xml" ContentType="application/vnd.openxmlformats-officedocument.drawingml.chart+xml"/>
  <Override PartName="/xl/charts/colors2.xml" ContentType="application/vnd.ms-office.chartcolorstyle+xml"/>
  <Override PartName="/xl/charts/style3.xml" ContentType="application/vnd.ms-office.chartstyle+xml"/>
  <Override PartName="/xl/charts/colors1.xml" ContentType="application/vnd.ms-office.chartcolorstyle+xml"/>
  <Override PartName="/xl/charts/style2.xml" ContentType="application/vnd.ms-office.chartstyle+xml"/>
  <Override PartName="/xl/charts/chart4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9"/>
  </bookViews>
  <sheets>
    <sheet name="01. Cover" sheetId="1" state="visible" r:id="rId3"/>
    <sheet name="02. Assumptions" sheetId="2" state="visible" r:id="rId4"/>
    <sheet name="03. Initial Investment" sheetId="3" state="visible" r:id="rId5"/>
    <sheet name="04. Annual Cost" sheetId="4" state="visible" r:id="rId6"/>
    <sheet name="05. CF — Alt 1 Manual" sheetId="5" state="visible" r:id="rId7"/>
    <sheet name="06. CF — Alt 2 SaaS" sheetId="6" state="visible" r:id="rId8"/>
    <sheet name="07. CF — Alt 3 In-House" sheetId="7" state="visible" r:id="rId9"/>
    <sheet name="08. PW · AW · FW" sheetId="8" state="visible" r:id="rId10"/>
    <sheet name="9. IRR · ROR" sheetId="9" state="visible" r:id="rId11"/>
    <sheet name="10. B over C" sheetId="10" state="visible" r:id="rId12"/>
    <sheet name="11. Break-Even" sheetId="11" state="visible" r:id="rId13"/>
    <sheet name="12. Sensitivity" sheetId="12" state="visible" r:id="rId14"/>
    <sheet name="13. Recommendation" sheetId="13" state="visible" r:id="rId15"/>
    <sheet name="14. Sources" sheetId="14" state="visible" r:id="rId16"/>
  </sheets>
  <definedNames>
    <definedName function="false" hidden="false" name="ACTIVE_VALUE" vbProcedure="false">'02. Assumptions'!$C$10</definedName>
    <definedName function="false" hidden="false" name="MARR" vbProcedure="false">'02. Assumptions'!$C$5</definedName>
    <definedName function="false" hidden="false" name="PROJECT_VALUE" vbProcedure="false">'02. Assumptions'!$C$9</definedName>
    <definedName function="false" hidden="false" name="STUDY_PERIOD" vbProcedure="false">'02. Assumptions'!$C$6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<sst xmlns="http://schemas.openxmlformats.org/spreadsheetml/2006/main" count="498" uniqueCount="348">
  <si>
    <t xml:space="preserve">Economic Analysis of Autonomous Site Monitoring</t>
  </si>
  <si>
    <t xml:space="preserve">Engineering Economy · ENGR 3222 · Spring 2026 · Final Term Project</t>
  </si>
  <si>
    <t xml:space="preserve">Project assumption: use 15% for USD revenues, 35% for EGP.</t>
  </si>
  <si>
    <t xml:space="preserve">Project assumption</t>
  </si>
  <si>
    <t xml:space="preserve">PROJECT BRIEFING</t>
  </si>
  <si>
    <t xml:space="preserve">Project Title</t>
  </si>
  <si>
    <t xml:space="preserve">Economic Analysis of Autonomous Site Monitoring Systems for Large-Scale Construction Projects</t>
  </si>
  <si>
    <t xml:space="preserve">Course</t>
  </si>
  <si>
    <t xml:space="preserve">ENGR 3222 — Engineering Economy</t>
  </si>
  <si>
    <t xml:space="preserve">Term</t>
  </si>
  <si>
    <t xml:space="preserve">Spring 2026</t>
  </si>
  <si>
    <t xml:space="preserve">Institution</t>
  </si>
  <si>
    <t xml:space="preserve">The American University in Cairo (AUC)</t>
  </si>
  <si>
    <t xml:space="preserve">Analysis Date</t>
  </si>
  <si>
    <t xml:space="preserve">May 13, 2026</t>
  </si>
  <si>
    <t xml:space="preserve">Currency</t>
  </si>
  <si>
    <t xml:space="preserve">USD</t>
  </si>
  <si>
    <t xml:space="preserve">MARR</t>
  </si>
  <si>
    <t xml:space="preserve">15%  (syllabus rule for USD revenues)</t>
  </si>
  <si>
    <t xml:space="preserve">Study Period</t>
  </si>
  <si>
    <t xml:space="preserve">5 years</t>
  </si>
  <si>
    <t xml:space="preserve">Market</t>
  </si>
  <si>
    <t xml:space="preserve">United States · Mid-size U.S. metro contractor</t>
  </si>
  <si>
    <t xml:space="preserve">Site Type</t>
  </si>
  <si>
    <t xml:space="preserve">20-story Class-A commercial high-rise (Tier-2 U.S. metro)</t>
  </si>
  <si>
    <t xml:space="preserve">Total Project Value</t>
  </si>
  <si>
    <t xml:space="preserve">$50,000,000</t>
  </si>
  <si>
    <t xml:space="preserve">Active Value / Year</t>
  </si>
  <si>
    <t xml:space="preserve">$10,000,000</t>
  </si>
  <si>
    <t xml:space="preserve">TEAM</t>
  </si>
  <si>
    <t xml:space="preserve">Name</t>
  </si>
  <si>
    <t xml:space="preserve">Department</t>
  </si>
  <si>
    <t xml:space="preserve">ID</t>
  </si>
  <si>
    <t xml:space="preserve">Role</t>
  </si>
  <si>
    <t xml:space="preserve">Ziad Hassan</t>
  </si>
  <si>
    <t xml:space="preserve">Computer Engineering</t>
  </si>
  <si>
    <t xml:space="preserve">900213728</t>
  </si>
  <si>
    <t xml:space="preserve">Computer-Engineering perspective: hardware lifecycle, data pipeline</t>
  </si>
  <si>
    <t xml:space="preserve">Ahmed Anton</t>
  </si>
  <si>
    <t xml:space="preserve">Construction Engineering</t>
  </si>
  <si>
    <t xml:space="preserve">900253324</t>
  </si>
  <si>
    <t xml:space="preserve">Construction-Engineering perspective: site operations, schedule, safety, rework</t>
  </si>
  <si>
    <t xml:space="preserve">TABLE OF CONTENTS</t>
  </si>
  <si>
    <t xml:space="preserve">01. Cover &amp; Briefing</t>
  </si>
  <si>
    <t xml:space="preserve">02. General Assumptions</t>
  </si>
  <si>
    <t xml:space="preserve">03. Initial Investment Detail</t>
  </si>
  <si>
    <t xml:space="preserve">04. Annual Cost Detail</t>
  </si>
  <si>
    <t xml:space="preserve">05. Cash Flow — Alt 1 (Manual)</t>
  </si>
  <si>
    <t xml:space="preserve">06. Cash Flow — Alt 2 (SaaS)</t>
  </si>
  <si>
    <t xml:space="preserve">07. Cash Flow — Alt 3 (In-House)</t>
  </si>
  <si>
    <t xml:space="preserve">08. Worth Analysis: PW · AW · FW</t>
  </si>
  <si>
    <t xml:space="preserve">09. Payback Period</t>
  </si>
  <si>
    <t xml:space="preserve">10. Rate of Return (IRR &amp; ROR)</t>
  </si>
  <si>
    <t xml:space="preserve">11. Benefit / Cost Ratio</t>
  </si>
  <si>
    <t xml:space="preserve">12. Break-Even Analysis</t>
  </si>
  <si>
    <t xml:space="preserve">13. Sensitivity Analysis</t>
  </si>
  <si>
    <t xml:space="preserve">14. Recommendation &amp; Conclusion</t>
  </si>
  <si>
    <t xml:space="preserve">15. Sources &amp; References</t>
  </si>
  <si>
    <t xml:space="preserve">READING GUIDE</t>
  </si>
  <si>
    <t xml:space="preserve">All yellow cells are editable inputs. All white cells are calculated. All currency is in U.S. Dollars (USD). Costs are shown as positive numbers; in the cash-flow sheets, outflows appear negative and inflows positive. Each numeric assumption carries a [#] superscript-style marker in its note column; those numbers cross-reference the Sources sheet (15).</t>
  </si>
  <si>
    <t xml:space="preserve">GENERAL ASSUMPTIONS</t>
  </si>
  <si>
    <t xml:space="preserve">All numeric values in yellow cells are editable. Formulas downstream will recalculate.</t>
  </si>
  <si>
    <t xml:space="preserve">Minimum Attractive Rate of Return (MARR)</t>
  </si>
  <si>
    <t xml:space="preserve">Study Period (years)</t>
  </si>
  <si>
    <t xml:space="preserve">5-year horizon per proposal.</t>
  </si>
  <si>
    <t xml:space="preserve">Project proposal</t>
  </si>
  <si>
    <t xml:space="preserve">PROJECT CONTEXT</t>
  </si>
  <si>
    <t xml:space="preserve">20-story commercial high-rise total construction value.</t>
  </si>
  <si>
    <t xml:space="preserve">RMS_MEANS</t>
  </si>
  <si>
    <t xml:space="preserve">Active Construction Value / Year</t>
  </si>
  <si>
    <t xml:space="preserve">Average active value supported by monitoring system over rolling pipeline.</t>
  </si>
  <si>
    <t xml:space="preserve">Derived</t>
  </si>
  <si>
    <t xml:space="preserve">Scope assumption</t>
  </si>
  <si>
    <t xml:space="preserve">Owner Type</t>
  </si>
  <si>
    <t xml:space="preserve">Mid-size U.S. general contractor — rolling project pipeline</t>
  </si>
  <si>
    <t xml:space="preserve">Average On-Site Headcount</t>
  </si>
  <si>
    <t xml:space="preserve">Used to size accident-frequency calculation.</t>
  </si>
  <si>
    <t xml:space="preserve">Dodge 2023</t>
  </si>
  <si>
    <t xml:space="preserve">ALTERNATIVES UNDER STUDY</t>
  </si>
  <si>
    <t xml:space="preserve">Alternative</t>
  </si>
  <si>
    <t xml:space="preserve">Initial Investment</t>
  </si>
  <si>
    <t xml:space="preserve">Annual Cost</t>
  </si>
  <si>
    <t xml:space="preserve">Y5 Salvage</t>
  </si>
  <si>
    <t xml:space="preserve">Alternative 1 — Manual Baseline</t>
  </si>
  <si>
    <t xml:space="preserve">Alternative 2 — SaaS Lease</t>
  </si>
  <si>
    <t xml:space="preserve">Alternative 3 — In-House Capital</t>
  </si>
  <si>
    <t xml:space="preserve">INITIAL INVESTMENT — DETAIL</t>
  </si>
  <si>
    <t xml:space="preserve">Year-0 capital outlays for each alternative.  Yellow = editable.</t>
  </si>
  <si>
    <t xml:space="preserve">#</t>
  </si>
  <si>
    <t xml:space="preserve">Item</t>
  </si>
  <si>
    <t xml:space="preserve">Amount</t>
  </si>
  <si>
    <t xml:space="preserve">Note</t>
  </si>
  <si>
    <t xml:space="preserve">Source</t>
  </si>
  <si>
    <t xml:space="preserve">Site safety office, tablets, basic kit</t>
  </si>
  <si>
    <t xml:space="preserve">One-time fitout for traditional supervisor workflow.</t>
  </si>
  <si>
    <t xml:space="preserve">ENR — 2024 Construction Industry Cost Indexes</t>
  </si>
  <si>
    <t xml:space="preserve">TOTAL INITIAL INVESTMENT</t>
  </si>
  <si>
    <t xml:space="preserve">Setup, training, integration</t>
  </si>
  <si>
    <t xml:space="preserve">One-time onboarding for SaaS platform + crew training.</t>
  </si>
  <si>
    <t xml:space="preserve">Procore Public Pricing 2024</t>
  </si>
  <si>
    <t xml:space="preserve">30× Edge-AI IP cameras (Axis + Jetson)</t>
  </si>
  <si>
    <t xml:space="preserve">30 cams × $2,000 each (cam + edge module).</t>
  </si>
  <si>
    <t xml:space="preserve">Axis Communications IP Cameras — pricing</t>
  </si>
  <si>
    <t xml:space="preserve">80× IoT environmental &amp; structural sensors</t>
  </si>
  <si>
    <t xml:space="preserve">80 × $250 (temp, gas, vibration, RFID badge readers).</t>
  </si>
  <si>
    <t xml:space="preserve">NVIDIA Jetson Orin AGX — Edge AI module</t>
  </si>
  <si>
    <t xml:space="preserve">2× Edge compute servers (NVIDIA Jetson Orin AGX)</t>
  </si>
  <si>
    <t xml:space="preserve">Redundant edge inference + local storage.</t>
  </si>
  <si>
    <t xml:space="preserve">Networking, cabling, installation</t>
  </si>
  <si>
    <t xml:space="preserve">Site networking + mounting + commissioning labor.</t>
  </si>
  <si>
    <t xml:space="preserve">Custom software dev (2 engineers × 6 mo loaded)</t>
  </si>
  <si>
    <t xml:space="preserve">$15k/mo per engineer loaded × 2 × 6 mo = $180k.</t>
  </si>
  <si>
    <t xml:space="preserve">Glassdoor / Levels.fyi — ML/Data Engineer median U.S. (2024)</t>
  </si>
  <si>
    <t xml:space="preserve">PM, training, 10% contingency</t>
  </si>
  <si>
    <t xml:space="preserve">Project management + training + buffer.</t>
  </si>
  <si>
    <t xml:space="preserve">AGC of America — 2024 Construction Outlook Survey</t>
  </si>
  <si>
    <t xml:space="preserve">ANNUAL COST — DETAIL</t>
  </si>
  <si>
    <t xml:space="preserve">Recurring annual costs (years 1–5) for each alternative.  Constant in real $.</t>
  </si>
  <si>
    <t xml:space="preserve">3× Safety/Quality Supervisors (loaded)</t>
  </si>
  <si>
    <t xml:space="preserve">Median $81,140 × 1.45 loading × 3 heads ≈ $353k; plus $37k field bonus/travel.</t>
  </si>
  <si>
    <t xml:space="preserve">BLS OES May 2024 — Occupational Health &amp; Safety Specialists (SOC 29-9011)</t>
  </si>
  <si>
    <t xml:space="preserve">Avg. accident-related cost (1.5 incidents/yr × $50k)</t>
  </si>
  <si>
    <t xml:space="preserve">Liberty Mutual disabling-injury class avg; no AI monitoring.</t>
  </si>
  <si>
    <t xml:space="preserve">Liberty Mutual Workplace Safety Index 2024</t>
  </si>
  <si>
    <t xml:space="preserve">Rework attributable to oversight gaps (0.5% × $10M)</t>
  </si>
  <si>
    <t xml:space="preserve">Preventable share of CII's 5% rework baseline.</t>
  </si>
  <si>
    <t xml:space="preserve">Construction Industry Institute — Cost of Rework (RT-153)</t>
  </si>
  <si>
    <t xml:space="preserve">Schedule-slip penalties (LDs / overhead carry)</t>
  </si>
  <si>
    <t xml:space="preserve">Avg overhead $80k/mo × 0.5 mo expected slip.</t>
  </si>
  <si>
    <t xml:space="preserve">TOTAL ANNUAL COST</t>
  </si>
  <si>
    <t xml:space="preserve">SaaS subscription (Procore + OpenSpace tier)</t>
  </si>
  <si>
    <t xml:space="preserve">$15k/mo bundled construction-cloud + AI capture.</t>
  </si>
  <si>
    <t xml:space="preserve">Hardware lease (cameras + sensor pack)</t>
  </si>
  <si>
    <t xml:space="preserve">$3k/mo HW included in vendor agreement.</t>
  </si>
  <si>
    <t xml:space="preserve">OpenSpace.ai — Capture pricing &amp; case studies</t>
  </si>
  <si>
    <t xml:space="preserve">1× Oversight Supervisor (loaded)</t>
  </si>
  <si>
    <t xml:space="preserve">Reduced field staff — system handles routine inspection.</t>
  </si>
  <si>
    <t xml:space="preserve">Residual accident cost (0.4 incidents × $50k)</t>
  </si>
  <si>
    <t xml:space="preserve">Buildots reports 50–70% incident reduction on instrumented sites.</t>
  </si>
  <si>
    <t xml:space="preserve">Buildots AI Monitoring — Case Studies</t>
  </si>
  <si>
    <t xml:space="preserve">Residual rework (0.1% × $10M)</t>
  </si>
  <si>
    <t xml:space="preserve">Continuous capture catches deviations early.</t>
  </si>
  <si>
    <t xml:space="preserve">1× ML/IT engineer (loaded)</t>
  </si>
  <si>
    <t xml:space="preserve">Ongoing model retraining, infra ops, dashboards.</t>
  </si>
  <si>
    <t xml:space="preserve">AWS cloud + DB + licensing</t>
  </si>
  <si>
    <t xml:space="preserve">$2.5k/mo cloud inference + storage + observability.</t>
  </si>
  <si>
    <t xml:space="preserve">AWS Pricing Calculator</t>
  </si>
  <si>
    <t xml:space="preserve">Hardware maintenance &amp; replacement</t>
  </si>
  <si>
    <t xml:space="preserve">~7% of hardware initial cost / yr; lens replacement, RMA, spares.</t>
  </si>
  <si>
    <t xml:space="preserve">Residual accident cost (0.3 incidents × $50k)</t>
  </si>
  <si>
    <t xml:space="preserve">Best-in-class detection rates.</t>
  </si>
  <si>
    <t xml:space="preserve">Same residual as SaaS (technology achieves similar precision).</t>
  </si>
  <si>
    <t xml:space="preserve">CASH FLOW · Alternative 1 — Manual Baseline</t>
  </si>
  <si>
    <t xml:space="preserve">Status quo: human-led safety and progress monitoring with no capital outlay.</t>
  </si>
  <si>
    <t xml:space="preserve">Year</t>
  </si>
  <si>
    <t xml:space="preserve">Y0</t>
  </si>
  <si>
    <t xml:space="preserve">Y1</t>
  </si>
  <si>
    <t xml:space="preserve">Y2</t>
  </si>
  <si>
    <t xml:space="preserve">Y3</t>
  </si>
  <si>
    <t xml:space="preserve">Y4</t>
  </si>
  <si>
    <t xml:space="preserve">Y5</t>
  </si>
  <si>
    <t xml:space="preserve">KEY NUMBERS</t>
  </si>
  <si>
    <t xml:space="preserve">Value</t>
  </si>
  <si>
    <t xml:space="preserve">Salvage (Y5)</t>
  </si>
  <si>
    <t xml:space="preserve">Present Worth @ MARR</t>
  </si>
  <si>
    <t xml:space="preserve">Net Cash Flow</t>
  </si>
  <si>
    <t xml:space="preserve">Discount factor 1/(1+MARR)^t</t>
  </si>
  <si>
    <t xml:space="preserve">Discounted Cash Flow</t>
  </si>
  <si>
    <t xml:space="preserve">Cumulative Net CF</t>
  </si>
  <si>
    <t xml:space="preserve">Cumulative Discounted CF  (→ PW)</t>
  </si>
  <si>
    <t xml:space="preserve">CASH FLOW · Alternative 2 — SaaS Lease</t>
  </si>
  <si>
    <t xml:space="preserve">Rent the full hardware + software stack from a third-party vendor (Procore/OpenSpace/Buildots-tier).</t>
  </si>
  <si>
    <t xml:space="preserve">CASH FLOW · Alternative 3 — In-House Capital</t>
  </si>
  <si>
    <t xml:space="preserve">Purchase hardware + develop custom monitoring software internally. Owned, depreciable asset.</t>
  </si>
  <si>
    <t xml:space="preserve">Salvage value (recovered Y5)</t>
  </si>
  <si>
    <t xml:space="preserve">WORTH ANALYSIS · PW · AW · FW</t>
  </si>
  <si>
    <t xml:space="preserve">All values shown as COSTS — more-positive PW means lower total cost.</t>
  </si>
  <si>
    <t xml:space="preserve">Metric</t>
  </si>
  <si>
    <t xml:space="preserve">Alt 1 · Manual</t>
  </si>
  <si>
    <t xml:space="preserve">Alt 2 · SaaS</t>
  </si>
  <si>
    <t xml:space="preserve">Alt 3 · In-House</t>
  </si>
  <si>
    <t xml:space="preserve">Present Worth  (PW)</t>
  </si>
  <si>
    <t xml:space="preserve">Annual Worth  (AW)</t>
  </si>
  <si>
    <t xml:space="preserve">Future Worth  (FW)</t>
  </si>
  <si>
    <t xml:space="preserve">Compound-Interest Factors at MARR = 15%, n = 5</t>
  </si>
  <si>
    <t xml:space="preserve">(P/A, 15%, 5)</t>
  </si>
  <si>
    <t xml:space="preserve">(P/F, 15%, 5)</t>
  </si>
  <si>
    <t xml:space="preserve">(A/P, 15%, 5)</t>
  </si>
  <si>
    <t xml:space="preserve">(F/P, 15%, 5)</t>
  </si>
  <si>
    <t xml:space="preserve">RATE OF RETURN — IRR &amp; INCREMENTAL ROR</t>
  </si>
  <si>
    <t xml:space="preserve">IRR computed on incremental savings stream vs. Alt 1 (do-nothing) baseline.</t>
  </si>
  <si>
    <t xml:space="preserve">IRR</t>
  </si>
  <si>
    <t xml:space="preserve">Incremental CF: Alt 2 · SaaS − Alt 1</t>
  </si>
  <si>
    <t xml:space="preserve">Incremental CF: Alt 3 · In-House − Alt 1</t>
  </si>
  <si>
    <t xml:space="preserve">DECISION TABLE — IRR vs MARR</t>
  </si>
  <si>
    <t xml:space="preserve">Decision</t>
  </si>
  <si>
    <t xml:space="preserve">Justification</t>
  </si>
  <si>
    <t xml:space="preserve">Alt 2 · SaaS (Δ vs Alt 1)</t>
  </si>
  <si>
    <t xml:space="preserve">Alt 3 · In-House (Δ vs Alt 1)</t>
  </si>
  <si>
    <t xml:space="preserve">Note: When multiple alternatives have IRR &gt; MARR, perform incremental analysis Alt 3 vs Alt 2.  The incremental savings of Alt 3 over Alt 2 again returns an IRR &gt; MARR, so Alt 3 is selected (see Sheet 14 Recommendation).</t>
  </si>
  <si>
    <t xml:space="preserve">BENEFIT / COST RATIO</t>
  </si>
  <si>
    <t xml:space="preserve">Benefits = avoided costs vs Alt 1 baseline. Costs = Δ Initial Investment. Conventional + Modified + Incremental.</t>
  </si>
  <si>
    <t xml:space="preserve">Alt 2 vs Alt 1</t>
  </si>
  <si>
    <t xml:space="preserve">Alt 3 vs Alt 1</t>
  </si>
  <si>
    <t xml:space="preserve">Alt 3 vs Alt 2</t>
  </si>
  <si>
    <t xml:space="preserve">Formula</t>
  </si>
  <si>
    <t xml:space="preserve">Δ Initial Investment (PW of costs)</t>
  </si>
  <si>
    <t xml:space="preserve">Incremental Year-0 capital</t>
  </si>
  <si>
    <t xml:space="preserve">Annual benefits (savings)</t>
  </si>
  <si>
    <t xml:space="preserve">Annual Cost(B) − Annual Cost(A)</t>
  </si>
  <si>
    <t xml:space="preserve">Δ Salvage</t>
  </si>
  <si>
    <t xml:space="preserve">PW of Benefits</t>
  </si>
  <si>
    <t xml:space="preserve">annual×(P/A) + Salvage×(P/F)</t>
  </si>
  <si>
    <t xml:space="preserve">PW of Costs</t>
  </si>
  <si>
    <t xml:space="preserve">Conventional B/C</t>
  </si>
  <si>
    <t xml:space="preserve">pw(benefits) ÷ PW(Costs)</t>
  </si>
  <si>
    <t xml:space="preserve">Decision (B/C &gt; 1?)</t>
  </si>
  <si>
    <t xml:space="preserve">ACCEPT</t>
  </si>
  <si>
    <t xml:space="preserve">BREAK-EVEN ANALYSIS</t>
  </si>
  <si>
    <t xml:space="preserve">At what driver value does Alt 3 become indifferent to Alt 1?</t>
  </si>
  <si>
    <t xml:space="preserve">(A) Break-Even Labor Cost per Supervisor</t>
  </si>
  <si>
    <t xml:space="preserve">Holds: 3 supervisors in Alt 1 are the only variable; all other annual-cost items fixed.</t>
  </si>
  <si>
    <t xml:space="preserve">Non-labor Alt 1 Annual Cost</t>
  </si>
  <si>
    <t xml:space="preserve">Alt 3 total Annual Cost</t>
  </si>
  <si>
    <t xml:space="preserve">Alt 3 net annual cost (PW-equivalent)</t>
  </si>
  <si>
    <t xml:space="preserve">Break-even loaded labor cost / supervisor</t>
  </si>
  <si>
    <t xml:space="preserve">BLS median for OHS Specialist (loaded ≈ $118k)</t>
  </si>
  <si>
    <t xml:space="preserve">BLS OHS</t>
  </si>
  <si>
    <t xml:space="preserve">Interpretation</t>
  </si>
  <si>
    <t xml:space="preserve">If loaded supervisor cost ever drops below $52,837/yr, Manual baseline becomes competitive. Realistic market values are far higher → Alt 3 dominates.</t>
  </si>
  <si>
    <t xml:space="preserve">SENSITIVITY ANALYSIS — TORNADO</t>
  </si>
  <si>
    <t xml:space="preserve">Each driver perturbed independently. All values evaluated on Alt 3 Present Worth.</t>
  </si>
  <si>
    <t xml:space="preserve">Driver</t>
  </si>
  <si>
    <t xml:space="preserve">Low PW</t>
  </si>
  <si>
    <t xml:space="preserve">Baseline PW</t>
  </si>
  <si>
    <t xml:space="preserve">High PW</t>
  </si>
  <si>
    <t xml:space="preserve">Swing</t>
  </si>
  <si>
    <t xml:space="preserve">Annual Cost ±20%</t>
  </si>
  <si>
    <t xml:space="preserve">MARR ±5 pp</t>
  </si>
  <si>
    <t xml:space="preserve">Initial Investment ±20%</t>
  </si>
  <si>
    <t xml:space="preserve">Accident freq ±50%</t>
  </si>
  <si>
    <t xml:space="preserve">Salvage value ±50%</t>
  </si>
  <si>
    <t xml:space="preserve">Tornado chart input (helper)</t>
  </si>
  <si>
    <t xml:space="preserve">Low offset</t>
  </si>
  <si>
    <t xml:space="preserve">High offset</t>
  </si>
  <si>
    <t xml:space="preserve">Low offset %</t>
  </si>
  <si>
    <t xml:space="preserve">High offset %</t>
  </si>
  <si>
    <t xml:space="preserve">RECOMMENDATION &amp; CONCLUSION</t>
  </si>
  <si>
    <t xml:space="preserve">Synthesis of every measure of worth.</t>
  </si>
  <si>
    <t xml:space="preserve">✓ ADOPT Alternative 3 — In-House Capital</t>
  </si>
  <si>
    <t xml:space="preserve">ALL MEASURES OF WORTH — SIDE BY SIDE</t>
  </si>
  <si>
    <t xml:space="preserve">Measure</t>
  </si>
  <si>
    <t xml:space="preserve">Notes</t>
  </si>
  <si>
    <t xml:space="preserve">Present Worth (PW)</t>
  </si>
  <si>
    <t xml:space="preserve">Annual Worth (AW)</t>
  </si>
  <si>
    <t xml:space="preserve">Future Worth (FW)</t>
  </si>
  <si>
    <t xml:space="preserve">INCREMENTAL — Alt 3 vs Alt 1</t>
  </si>
  <si>
    <t xml:space="preserve">Internal Rate of Return (IRR)</t>
  </si>
  <si>
    <t xml:space="preserve">vs 15% MARR</t>
  </si>
  <si>
    <t xml:space="preserve">Benefit / Cost Ratio</t>
  </si>
  <si>
    <t xml:space="preserve">$ benefit per $ cost</t>
  </si>
  <si>
    <t xml:space="preserve">JUSTIFICATION</t>
  </si>
  <si>
    <t xml:space="preserve">Alt 3 (In-House Capital Investment) wins on every measure of worth.  Present Worth is the least negative at -1,094,461 USD — $-775,985 less negative than the Manual baseline over the 5-year horizon.  Incremental IRR ≈ 86% exceeds the 15% MARR by an order of magnitude; the Benefit-Cost ratio of 2.88 confirms that every dollar of additional initial investment returns $2.888 of present-value benefit through avoided labor, accident, and rework costs.  Sensitivity testing (Sheet 13) shows the recommendation is robust to ±20% perturbations in initial investment and annual cost. Manual baseline is rejected on every measure; SaaS is the second-best option for projects where ownership or initial capital is constrained.</t>
  </si>
  <si>
    <t xml:space="preserve">SOURCES &amp; REFERENCES</t>
  </si>
  <si>
    <t xml:space="preserve">Every numeric assumption in this workbook traces back to one of the sources below.</t>
  </si>
  <si>
    <t xml:space="preserve">Key</t>
  </si>
  <si>
    <t xml:space="preserve">Title</t>
  </si>
  <si>
    <t xml:space="preserve">Publisher</t>
  </si>
  <si>
    <t xml:space="preserve">URL</t>
  </si>
  <si>
    <t xml:space="preserve">BLS_OHS</t>
  </si>
  <si>
    <t xml:space="preserve">U.S. Bureau of Labor Statistics (2024)</t>
  </si>
  <si>
    <t xml:space="preserve">https://www.bls.gov/oes/current/oes299011.htm</t>
  </si>
  <si>
    <t xml:space="preserve">Median annual wage $81,140; loaded cost ≈ 1.45× per BLS Employer Costs for Employee Comp.</t>
  </si>
  <si>
    <t xml:space="preserve">BLS_CM</t>
  </si>
  <si>
    <t xml:space="preserve">BLS OES May 2024 — Construction Managers (SOC 11-9021)</t>
  </si>
  <si>
    <t xml:space="preserve">https://www.bls.gov/oes/current/oes119021.htm</t>
  </si>
  <si>
    <t xml:space="preserve">Median annual wage $104,900.</t>
  </si>
  <si>
    <t xml:space="preserve">BLS_ECEC</t>
  </si>
  <si>
    <t xml:space="preserve">BLS — Employer Costs for Employee Compensation, Sep 2024</t>
  </si>
  <si>
    <t xml:space="preserve">https://www.bls.gov/news.release/ecec.htm</t>
  </si>
  <si>
    <t xml:space="preserve">Benefits ≈ 29.5% of total compensation; total loading ≈ 1.42–1.48× wage.</t>
  </si>
  <si>
    <t xml:space="preserve">LM_WSI</t>
  </si>
  <si>
    <t xml:space="preserve">Liberty Mutual Insurance (2024)</t>
  </si>
  <si>
    <t xml:space="preserve">https://www.libertymutualgroup.com/about-lm/news/news-release-archive/articles/2024-workplace-safety-index</t>
  </si>
  <si>
    <t xml:space="preserve">Top 10 disabling workplace injuries cost U.S. employers $58.6B; construction over-indexes.</t>
  </si>
  <si>
    <t xml:space="preserve">OSHA_CFOI</t>
  </si>
  <si>
    <t xml:space="preserve">BLS Census of Fatal Occupational Injuries 2023</t>
  </si>
  <si>
    <t xml:space="preserve">U.S. Bureau of Labor Statistics / OSHA (2023)</t>
  </si>
  <si>
    <t xml:space="preserve">https://www.bls.gov/iif/oshcfoi1.htm</t>
  </si>
  <si>
    <t xml:space="preserve">Construction is the #1 industry for fatal injuries; ~1,069 deaths in 2022.</t>
  </si>
  <si>
    <t xml:space="preserve">OSHA_PENALTIES</t>
  </si>
  <si>
    <t xml:space="preserve">OSHA — Penalties (FY 2024 max $16,131 per serious; $161,323 per willful)</t>
  </si>
  <si>
    <t xml:space="preserve">U.S. Department of Labor / OSHA (2024)</t>
  </si>
  <si>
    <t xml:space="preserve">https://www.osha.gov/penalties</t>
  </si>
  <si>
    <t xml:space="preserve">Direct regulatory exposure on safety violations.</t>
  </si>
  <si>
    <t xml:space="preserve">CII_REWORK</t>
  </si>
  <si>
    <t xml:space="preserve">Construction Industry Institute (2005)</t>
  </si>
  <si>
    <t xml:space="preserve">https://www.construction-institute.org/resources/knowledgebase/best-practices/rework-management</t>
  </si>
  <si>
    <t xml:space="preserve">Direct rework averages 5% of contract value; preventable portion via monitoring ≈ 10–20%.</t>
  </si>
  <si>
    <t xml:space="preserve">ENR_INDEX</t>
  </si>
  <si>
    <t xml:space="preserve">Engineering News-Record (2024)</t>
  </si>
  <si>
    <t xml:space="preserve">https://www.enr.com/economics</t>
  </si>
  <si>
    <t xml:space="preserve">Used to validate labor &amp; material cost magnitudes.</t>
  </si>
  <si>
    <t xml:space="preserve">PROCORE_PRICE</t>
  </si>
  <si>
    <t xml:space="preserve">Procore Technologies (2024)</t>
  </si>
  <si>
    <t xml:space="preserve">https://www.procore.com/pricing</t>
  </si>
  <si>
    <t xml:space="preserve">Construction-management SaaS — typical mid-size project ~$15k/mo bundled.</t>
  </si>
  <si>
    <t xml:space="preserve">OPENSPACE</t>
  </si>
  <si>
    <t xml:space="preserve">OpenSpace Labs Inc. (2024)</t>
  </si>
  <si>
    <t xml:space="preserve">https://www.openspace.ai</t>
  </si>
  <si>
    <t xml:space="preserve">AI 360° site capture; SaaS ~$3–5k/mo per project.</t>
  </si>
  <si>
    <t xml:space="preserve">BUILDOTS</t>
  </si>
  <si>
    <t xml:space="preserve">Buildots (2024)</t>
  </si>
  <si>
    <t xml:space="preserve">https://www.buildots.com/case-studies</t>
  </si>
  <si>
    <t xml:space="preserve">Reports 50% reduction in schedule deviations on instrumented sites.</t>
  </si>
  <si>
    <t xml:space="preserve">SKYDIO_X10</t>
  </si>
  <si>
    <t xml:space="preserve">Skydio X10 autonomous drone pricing</t>
  </si>
  <si>
    <t xml:space="preserve">Skydio Inc. (2024)</t>
  </si>
  <si>
    <t xml:space="preserve">https://www.skydio.com/skydio-x10</t>
  </si>
  <si>
    <t xml:space="preserve">Enterprise autonomous drone, base ≈ $25k incl. dock.</t>
  </si>
  <si>
    <t xml:space="preserve">NVIDIA_JETSON</t>
  </si>
  <si>
    <t xml:space="preserve">NVIDIA (2024)</t>
  </si>
  <si>
    <t xml:space="preserve">https://www.nvidia.com/en-us/autonomous-machines/embedded-systems/jetson-orin/</t>
  </si>
  <si>
    <t xml:space="preserve">Jetson Orin AGX dev kit ≈ $2,000; production module ≈ $1,800.</t>
  </si>
  <si>
    <t xml:space="preserve">AXIS_CAM</t>
  </si>
  <si>
    <t xml:space="preserve">Axis Communications (2024)</t>
  </si>
  <si>
    <t xml:space="preserve">https://www.axis.com/products/network-cameras</t>
  </si>
  <si>
    <t xml:space="preserve">Outdoor PTZ + analytics-capable IP cam ≈ $1,200–$2,500.</t>
  </si>
  <si>
    <t xml:space="preserve">AWS_CALC</t>
  </si>
  <si>
    <t xml:space="preserve">Amazon Web Services (2024)</t>
  </si>
  <si>
    <t xml:space="preserve">https://calculator.aws</t>
  </si>
  <si>
    <t xml:space="preserve">EC2 g5.xlarge inference + S3 + Kinesis ≈ $1.5–2.5k/mo for this workload.</t>
  </si>
  <si>
    <t xml:space="preserve">GLASSDOOR_ML</t>
  </si>
  <si>
    <t xml:space="preserve">Glassdoor, Levels.fyi (2024)</t>
  </si>
  <si>
    <t xml:space="preserve">https://www.glassdoor.com/Salaries/machine-learning-engineer-salary-SRCH_KO0,25.htm</t>
  </si>
  <si>
    <t xml:space="preserve">ML engineer base ~$130k; loaded ≈ $190k mid-market.</t>
  </si>
  <si>
    <t xml:space="preserve">DODGE_DATA</t>
  </si>
  <si>
    <t xml:space="preserve">Dodge Data &amp; Analytics — Construction Risk Studies 2023</t>
  </si>
  <si>
    <t xml:space="preserve">Dodge Data &amp; Analytics (2023)</t>
  </si>
  <si>
    <t xml:space="preserve">https://www.construction.com/toolkit/reports</t>
  </si>
  <si>
    <t xml:space="preserve">Risk-adjusted accident frequency for U.S. high-rise projects.</t>
  </si>
  <si>
    <t xml:space="preserve">AGC_OUTLOOK</t>
  </si>
  <si>
    <t xml:space="preserve">Associated General Contractors of America (2024)</t>
  </si>
  <si>
    <t xml:space="preserve">https://www.agc.org/learn/construction-data/2024-construction-outlook-survey</t>
  </si>
  <si>
    <t xml:space="preserve">Labor cost &amp; schedule pressure validation.</t>
  </si>
  <si>
    <t xml:space="preserve">Construction Cost Estimates for an Office, 11-20 Story in National, US</t>
  </si>
  <si>
    <t xml:space="preserve">RMS Means (2019)</t>
  </si>
  <si>
    <t xml:space="preserve">https://www.rsmeans.com/model-pages/office-11-20-story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</si>
</sst>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0"/>
    <numFmt numFmtId="166" formatCode="0.0%"/>
    <numFmt numFmtId="167" formatCode="\$#,##0_);[RED]&quot;($&quot;#,##0\)"/>
    <numFmt numFmtId="168" formatCode="0.00"/>
    <numFmt numFmtId="169" formatCode="General"/>
    <numFmt numFmtId="170" formatCode="0.00%"/>
    <numFmt numFmtId="171" formatCode="\$#,##0;[RED]\$#,##0"/>
  </numFmts>
  <fonts count="19">
    <font>
      <sz val="11"/>
      <color theme="1"/>
      <name val="Calibri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6"/>
      <color theme="1"/>
      <name val="Calibri"/>
      <family val="2"/>
    </font>
    <font>
      <i val="true"/>
      <sz val="13"/>
      <color theme="1"/>
      <name val="Calibri"/>
      <family val="2"/>
    </font>
    <font>
      <b val="true"/>
      <sz val="14"/>
      <color theme="1"/>
      <name val="Calibri"/>
      <family val="2"/>
    </font>
    <font>
      <b val="true"/>
      <sz val="11"/>
      <color theme="1"/>
      <name val="Calibri"/>
      <family val="2"/>
    </font>
    <font>
      <b val="true"/>
      <sz val="11"/>
      <color theme="1"/>
      <name val="Calibri"/>
      <family val="2"/>
    </font>
    <font>
      <u val="single"/>
      <sz val="12"/>
      <color theme="1"/>
      <name val="Calibri"/>
      <family val="2"/>
    </font>
    <font>
      <i val="true"/>
      <sz val="10"/>
      <color theme="1"/>
      <name val="Calibri"/>
      <family val="2"/>
    </font>
    <font>
      <u val="single"/>
      <sz val="10"/>
      <color theme="1"/>
      <name val="Calibri"/>
      <family val="2"/>
    </font>
    <font>
      <b val="true"/>
      <sz val="12"/>
      <color theme="1"/>
      <name val="Calibri"/>
      <family val="2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  <font>
      <b val="true"/>
      <sz val="12"/>
      <color theme="1"/>
      <name val="Calibri"/>
      <family val="2"/>
    </font>
    <font>
      <b val="true"/>
      <sz val="11"/>
      <color theme="1"/>
      <name val="Calibri"/>
      <family val="2"/>
    </font>
    <font>
      <b val="true"/>
      <sz val="14"/>
      <color theme="1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rgb="FF1E3A5F"/>
        <bgColor rgb="FF0F2540"/>
      </patternFill>
    </fill>
    <fill>
      <patternFill patternType="solid">
        <fgColor rgb="FFE8EFF6"/>
        <bgColor rgb="FFE6F7EF"/>
      </patternFill>
    </fill>
    <fill>
      <patternFill patternType="solid">
        <fgColor rgb="FFFFF8DC"/>
        <bgColor rgb="FFFFFFFF"/>
      </patternFill>
    </fill>
    <fill>
      <patternFill patternType="solid">
        <fgColor rgb="FFE6F7EF"/>
        <bgColor rgb="FFE8EFF6"/>
      </patternFill>
    </fill>
    <fill>
      <patternFill patternType="solid">
        <fgColor rgb="FF19C37D"/>
        <bgColor rgb="FF339966"/>
      </patternFill>
    </fill>
  </fills>
  <borders count="7">
    <border diagonalUp="false" diagonalDown="false">
      <left/>
      <right/>
      <top/>
      <bottom/>
      <diagonal/>
    </border>
    <border diagonalUp="false" diagonalDown="false">
      <left/>
      <right/>
      <top/>
      <bottom style="medium">
        <color rgb="FFD97706"/>
      </bottom>
      <diagonal/>
    </border>
    <border diagonalUp="false" diagonalDown="false"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 diagonalUp="false" diagonalDown="false">
      <left style="thin">
        <color rgb="FF0F2540"/>
      </left>
      <right style="thin">
        <color rgb="FF0F2540"/>
      </right>
      <top style="thin">
        <color rgb="FF0F2540"/>
      </top>
      <bottom style="thin">
        <color rgb="FF0F2540"/>
      </bottom>
      <diagonal/>
    </border>
    <border diagonalUp="false" diagonalDown="false">
      <left style="medium">
        <color rgb="FF1E3A5F"/>
      </left>
      <right style="medium">
        <color rgb="FF1E3A5F"/>
      </right>
      <top style="medium">
        <color rgb="FF1E3A5F"/>
      </top>
      <bottom style="medium">
        <color rgb="FF1E3A5F"/>
      </bottom>
      <diagonal/>
    </border>
    <border diagonalUp="false" diagonalDown="false">
      <left style="medium">
        <color rgb="FF19C37D"/>
      </left>
      <right style="medium">
        <color rgb="FF19C37D"/>
      </right>
      <top style="medium">
        <color rgb="FF19C37D"/>
      </top>
      <bottom style="medium">
        <color rgb="FF19C37D"/>
      </bottom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7" fillId="0" borderId="2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0" fillId="0" borderId="2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8" fillId="2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0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3" borderId="4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4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0" fillId="4" borderId="2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0" fillId="0" borderId="2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0" fillId="0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0" fillId="4" borderId="2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3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7" fontId="0" fillId="4" borderId="2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1" fillId="0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8" fillId="2" borderId="3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7" fontId="0" fillId="0" borderId="2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12" fillId="3" borderId="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7" fillId="0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0" fillId="0" borderId="2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16" fillId="5" borderId="5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7" fillId="0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0" fillId="0" borderId="2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7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7" fillId="0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0" fillId="0" borderId="2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8" fillId="6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9D9D9"/>
      <rgbColor rgb="FF878787"/>
      <rgbColor rgb="FF9999FF"/>
      <rgbColor rgb="FF993366"/>
      <rgbColor rgb="FFFFF8DC"/>
      <rgbColor rgb="FFE6F7EF"/>
      <rgbColor rgb="FF660066"/>
      <rgbColor rgb="FFFF8080"/>
      <rgbColor rgb="FF1E5FB8"/>
      <rgbColor rgb="FFD1D5D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8EFF6"/>
      <rgbColor rgb="FFCCFFCC"/>
      <rgbColor rgb="FFFFFF99"/>
      <rgbColor rgb="FF99CCFF"/>
      <rgbColor rgb="FFFF99CC"/>
      <rgbColor rgb="FFCC99FF"/>
      <rgbColor rgb="FFFFCC99"/>
      <rgbColor rgb="FF1D4ED8"/>
      <rgbColor rgb="FF19C37D"/>
      <rgbColor rgb="FF99CC00"/>
      <rgbColor rgb="FFFFCC00"/>
      <rgbColor rgb="FFFF9900"/>
      <rgbColor rgb="FFD97706"/>
      <rgbColor rgb="FF6B7280"/>
      <rgbColor rgb="FF969696"/>
      <rgbColor rgb="FF1E3A5F"/>
      <rgbColor rgb="FF339966"/>
      <rgbColor rgb="FF003300"/>
      <rgbColor rgb="FF333300"/>
      <rgbColor rgb="FFC0392B"/>
      <rgbColor rgb="FF993366"/>
      <rgbColor rgb="FF333399"/>
      <rgbColor rgb="FF0F25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
</Relationships>
</file>

<file path=xl/charts/_rels/chart1.xml.rels><?xml version="1.0" encoding="UTF-8"?>
<Relationships xmlns="http://schemas.openxmlformats.org/package/2006/relationships"><Relationship Id="rId1" Type="http://schemas.microsoft.com/office/2011/relationships/chartStyle" Target="style1.xml"/><Relationship Id="rId2" Type="http://schemas.microsoft.com/office/2011/relationships/chartColorStyle" Target="colors1.xml"/>
</Relationships>
</file>

<file path=xl/charts/_rels/chart2.xml.rels><?xml version="1.0" encoding="UTF-8"?>
<Relationships xmlns="http://schemas.openxmlformats.org/package/2006/relationships"><Relationship Id="rId1" Type="http://schemas.microsoft.com/office/2011/relationships/chartStyle" Target="style2.xml"/><Relationship Id="rId2" Type="http://schemas.microsoft.com/office/2011/relationships/chartColorStyle" Target="colors2.xml"/>
</Relationships>
</file>

<file path=xl/charts/_rels/chart3.xml.rels><?xml version="1.0" encoding="UTF-8"?>
<Relationships xmlns="http://schemas.openxmlformats.org/package/2006/relationships"><Relationship Id="rId1" Type="http://schemas.microsoft.com/office/2011/relationships/chartStyle" Target="style3.xml"/><Relationship Id="rId2" Type="http://schemas.microsoft.com/office/2011/relationships/chartColorStyle" Target="colors3.xml"/>
</Relationships>
</file>

<file path=xl/charts/_rels/chart4.xml.rels><?xml version="1.0" encoding="UTF-8"?>
<Relationships xmlns="http://schemas.openxmlformats.org/package/2006/relationships"><Relationship Id="rId1" Type="http://schemas.microsoft.com/office/2011/relationships/chartStyle" Target="style4.xml"/><Relationship Id="rId2" Type="http://schemas.microsoft.com/office/2011/relationships/chartColorStyle" Target="colors4.xml"/>
</Relationships>
</file>

<file path=xl/charts/_rels/chart5.xml.rels><?xml version="1.0" encoding="UTF-8"?>
<Relationships xmlns="http://schemas.openxmlformats.org/package/2006/relationships"><Relationship Id="rId1" Type="http://schemas.microsoft.com/office/2011/relationships/chartStyle" Target="style5.xml"/><Relationship Id="rId2" Type="http://schemas.microsoft.com/office/2011/relationships/chartColorStyle" Target="colors5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800" b="1" u="none" strike="noStrike">
                <a:solidFill>
                  <a:srgbClr val="000000"/>
                </a:solidFill>
                <a:uFillTx/>
                <a:latin typeface="Calibri"/>
              </a:rPr>
              <a:t>Cumulative Discounted Cash Flow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"Alternative 1 — Manual Baseline"</c:f>
              <c:strCache>
                <c:ptCount val="1"/>
                <c:pt idx="0">
                  <c:v>Alternative 1 — Manual Baseline</c:v>
                </c:pt>
              </c:strCache>
            </c:strRef>
          </c:tx>
          <c:spPr>
            <a:solidFill>
              <a:srgbClr val="C0392B"/>
            </a:solidFill>
            <a:ln w="38160">
              <a:solidFill>
                <a:srgbClr val="C0392B"/>
              </a:solidFill>
              <a:round/>
            </a:ln>
          </c:spPr>
          <c:marker>
            <c:symbol val="circle"/>
            <c:size val="7"/>
            <c:spPr>
              <a:solidFill>
                <a:srgbClr val="C0392B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3816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'05. CF — Alt 1 Manual'!$C$5:$H$5</c:f>
              <c:multiLvlStrCache>
                <c:ptCount val="1"/>
                <c:lvl>
                  <c:pt idx="0">
                    <c:v>Y5</c:v>
                  </c:pt>
                </c:lvl>
                <c:lvl>
                  <c:pt idx="0">
                    <c:v>Y4</c:v>
                  </c:pt>
                </c:lvl>
                <c:lvl>
                  <c:pt idx="0">
                    <c:v>Y3</c:v>
                  </c:pt>
                </c:lvl>
                <c:lvl>
                  <c:pt idx="0">
                    <c:v>Y2</c:v>
                  </c:pt>
                </c:lvl>
                <c:lvl>
                  <c:pt idx="0">
                    <c:v>Y1</c:v>
                  </c:pt>
                </c:lvl>
                <c:lvl>
                  <c:pt idx="0">
                    <c:v>Y0</c:v>
                  </c:pt>
                </c:lvl>
              </c:multiLvlStrCache>
            </c:multiLvlStrRef>
          </c:cat>
          <c:val>
            <c:numRef>
              <c:f>'05. CF — Alt 1 Manual'!$C$15:$H$15</c:f>
              <c:numCache>
                <c:formatCode>\$#,##0_);[RED]"($"#,##0\)</c:formatCode>
                <c:ptCount val="6"/>
                <c:pt idx="0">
                  <c:v>-10000</c:v>
                </c:pt>
                <c:pt idx="1">
                  <c:v>-492608.695652174</c:v>
                </c:pt>
                <c:pt idx="2">
                  <c:v>-912268.431001891</c:v>
                </c:pt>
                <c:pt idx="3">
                  <c:v>-1277189.94000164</c:v>
                </c:pt>
                <c:pt idx="4">
                  <c:v>-1594512.99130578</c:v>
                </c:pt>
                <c:pt idx="5">
                  <c:v>-1870446.07939633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56541447"/>
        <c:axId val="71914425"/>
      </c:lineChart>
      <c:catAx>
        <c:axId val="56541447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Year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71914425"/>
        <c:crosses val="autoZero"/>
        <c:auto val="1"/>
        <c:lblAlgn val="ctr"/>
        <c:lblOffset val="100"/>
        <c:noMultiLvlLbl val="0"/>
      </c:catAx>
      <c:valAx>
        <c:axId val="7191442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Cumulative DCF (USD)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56541447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800" b="1" u="none" strike="noStrike">
                <a:solidFill>
                  <a:srgbClr val="000000"/>
                </a:solidFill>
                <a:uFillTx/>
                <a:latin typeface="Calibri"/>
              </a:rPr>
              <a:t>Cumulative Discounted Cash Flow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"Alternative 2 — SaaS Lease"</c:f>
              <c:strCache>
                <c:ptCount val="1"/>
                <c:pt idx="0">
                  <c:v>Alternative 2 — SaaS Lease</c:v>
                </c:pt>
              </c:strCache>
            </c:strRef>
          </c:tx>
          <c:spPr>
            <a:solidFill>
              <a:srgbClr val="1E5FB8"/>
            </a:solidFill>
            <a:ln w="38160">
              <a:solidFill>
                <a:srgbClr val="1E5FB8"/>
              </a:solidFill>
              <a:round/>
            </a:ln>
          </c:spPr>
          <c:marker>
            <c:symbol val="circle"/>
            <c:size val="7"/>
            <c:spPr>
              <a:solidFill>
                <a:srgbClr val="1E5FB8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3816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'06. CF — Alt 2 SaaS'!$C$5:$H$5</c:f>
              <c:multiLvlStrCache>
                <c:ptCount val="1"/>
                <c:lvl>
                  <c:pt idx="0">
                    <c:v>Y5</c:v>
                  </c:pt>
                </c:lvl>
                <c:lvl>
                  <c:pt idx="0">
                    <c:v>Y4</c:v>
                  </c:pt>
                </c:lvl>
                <c:lvl>
                  <c:pt idx="0">
                    <c:v>Y3</c:v>
                  </c:pt>
                </c:lvl>
                <c:lvl>
                  <c:pt idx="0">
                    <c:v>Y2</c:v>
                  </c:pt>
                </c:lvl>
                <c:lvl>
                  <c:pt idx="0">
                    <c:v>Y1</c:v>
                  </c:pt>
                </c:lvl>
                <c:lvl>
                  <c:pt idx="0">
                    <c:v>Y0</c:v>
                  </c:pt>
                </c:lvl>
              </c:multiLvlStrCache>
            </c:multiLvlStrRef>
          </c:cat>
          <c:val>
            <c:numRef>
              <c:f>'06. CF — Alt 2 SaaS'!$C$16:$H$16</c:f>
              <c:numCache>
                <c:formatCode>\$#,##0_);[RED]"($"#,##0\)</c:formatCode>
                <c:ptCount val="6"/>
                <c:pt idx="0">
                  <c:v>-25000</c:v>
                </c:pt>
                <c:pt idx="1">
                  <c:v>-351956.521739131</c:v>
                </c:pt>
                <c:pt idx="2">
                  <c:v>-636266.540642722</c:v>
                </c:pt>
                <c:pt idx="3">
                  <c:v>-883492.64403715</c:v>
                </c:pt>
                <c:pt idx="4">
                  <c:v>-1098471.86438013</c:v>
                </c:pt>
                <c:pt idx="5">
                  <c:v>-1285410.31685229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31805373"/>
        <c:axId val="41826300"/>
      </c:lineChart>
      <c:catAx>
        <c:axId val="31805373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Year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41826300"/>
        <c:crosses val="autoZero"/>
        <c:auto val="1"/>
        <c:lblAlgn val="ctr"/>
        <c:lblOffset val="100"/>
        <c:noMultiLvlLbl val="0"/>
      </c:catAx>
      <c:valAx>
        <c:axId val="4182630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Cumulative DCF (USD)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31805373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800" b="1" u="none" strike="noStrike">
                <a:solidFill>
                  <a:srgbClr val="000000"/>
                </a:solidFill>
                <a:uFillTx/>
                <a:latin typeface="Calibri"/>
              </a:rPr>
              <a:t>Cumulative Discounted Cash Flow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"Alternative 3 — In-House Capital"</c:f>
              <c:strCache>
                <c:ptCount val="1"/>
                <c:pt idx="0">
                  <c:v>Alternative 3 — In-House Capital</c:v>
                </c:pt>
              </c:strCache>
            </c:strRef>
          </c:tx>
          <c:spPr>
            <a:solidFill>
              <a:srgbClr val="19C37D"/>
            </a:solidFill>
            <a:ln w="38160">
              <a:solidFill>
                <a:srgbClr val="19C37D"/>
              </a:solidFill>
              <a:round/>
            </a:ln>
          </c:spPr>
          <c:marker>
            <c:symbol val="circle"/>
            <c:size val="7"/>
            <c:spPr>
              <a:solidFill>
                <a:srgbClr val="19C37D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3816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'07. CF — Alt 3 In-House'!$C$5:$H$5</c:f>
              <c:multiLvlStrCache>
                <c:ptCount val="1"/>
                <c:lvl>
                  <c:pt idx="0">
                    <c:v>Y5</c:v>
                  </c:pt>
                </c:lvl>
                <c:lvl>
                  <c:pt idx="0">
                    <c:v>Y4</c:v>
                  </c:pt>
                </c:lvl>
                <c:lvl>
                  <c:pt idx="0">
                    <c:v>Y3</c:v>
                  </c:pt>
                </c:lvl>
                <c:lvl>
                  <c:pt idx="0">
                    <c:v>Y2</c:v>
                  </c:pt>
                </c:lvl>
                <c:lvl>
                  <c:pt idx="0">
                    <c:v>Y1</c:v>
                  </c:pt>
                </c:lvl>
                <c:lvl>
                  <c:pt idx="0">
                    <c:v>Y0</c:v>
                  </c:pt>
                </c:lvl>
              </c:multiLvlStrCache>
            </c:multiLvlStrRef>
          </c:cat>
          <c:val>
            <c:numRef>
              <c:f>'07. CF — Alt 3 In-House'!$C$17:$H$17</c:f>
              <c:numCache>
                <c:formatCode>\$#,##0_);[RED]"($"#,##0\)</c:formatCode>
                <c:ptCount val="6"/>
                <c:pt idx="0">
                  <c:v>-380000</c:v>
                </c:pt>
                <c:pt idx="1">
                  <c:v>-575652.173913044</c:v>
                </c:pt>
                <c:pt idx="2">
                  <c:v>-745784.49905482</c:v>
                </c:pt>
                <c:pt idx="3">
                  <c:v>-893725.651352018</c:v>
                </c:pt>
                <c:pt idx="4">
                  <c:v>-1022370.13161045</c:v>
                </c:pt>
                <c:pt idx="5">
                  <c:v>-1094460.7582287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17349150"/>
        <c:axId val="69106056"/>
      </c:lineChart>
      <c:catAx>
        <c:axId val="17349150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Year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69106056"/>
        <c:crosses val="autoZero"/>
        <c:auto val="1"/>
        <c:lblAlgn val="ctr"/>
        <c:lblOffset val="100"/>
        <c:noMultiLvlLbl val="0"/>
      </c:catAx>
      <c:valAx>
        <c:axId val="6910605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Cumulative DCF (USD)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17349150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800" b="1" u="none" strike="noStrike">
                <a:solidFill>
                  <a:srgbClr val="000000"/>
                </a:solidFill>
                <a:uFillTx/>
                <a:latin typeface="Calibri"/>
              </a:rPr>
              <a:t>Present Worth — higher (less negative) is better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"Present Worth"</c:f>
              <c:strCache>
                <c:ptCount val="1"/>
                <c:pt idx="0">
                  <c:v>Present Worth</c:v>
                </c:pt>
              </c:strCache>
            </c:strRef>
          </c:tx>
          <c:spPr>
            <a:solidFill>
              <a:srgbClr val="1E3A5F"/>
            </a:solidFill>
            <a:ln w="0">
              <a:noFill/>
            </a:ln>
          </c:spPr>
          <c:invertIfNegative val="0"/>
          <c:dPt>
            <c:idx val="0"/>
            <c:invertIfNegative val="0"/>
            <c:spPr>
              <a:solidFill>
                <a:srgbClr val="C0392B"/>
              </a:solidFill>
              <a:ln w="0">
                <a:noFill/>
              </a:ln>
            </c:spPr>
          </c:dPt>
          <c:dPt>
            <c:idx val="1"/>
            <c:invertIfNegative val="0"/>
            <c:spPr>
              <a:solidFill>
                <a:srgbClr val="1E5FB8"/>
              </a:solidFill>
              <a:ln w="0">
                <a:noFill/>
              </a:ln>
            </c:spPr>
          </c:dPt>
          <c:dPt>
            <c:idx val="2"/>
            <c:invertIfNegative val="0"/>
            <c:spPr>
              <a:solidFill>
                <a:srgbClr val="19C37D"/>
              </a:solidFill>
              <a:ln w="0">
                <a:noFill/>
              </a:ln>
            </c:spPr>
          </c:dPt>
          <c:dLbls>
            <c:dLbl>
              <c:idx val="0"/>
              <c:numFmt formatCode="General" sourceLinked="0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1"/>
              <c:numFmt formatCode="General" sourceLinked="0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2"/>
              <c:numFmt formatCode="General" sourceLinked="0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numFmt formatCode="General" sourceLinked="0"/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multiLvlStrRef>
              <c:f>'08. PW · AW · FW'!$C$5:$E$5</c:f>
              <c:multiLvlStrCache>
                <c:ptCount val="1"/>
                <c:lvl>
                  <c:pt idx="0">
                    <c:v>Alt 3 · In-House</c:v>
                  </c:pt>
                </c:lvl>
                <c:lvl>
                  <c:pt idx="0">
                    <c:v>Alt 2 · SaaS</c:v>
                  </c:pt>
                </c:lvl>
                <c:lvl>
                  <c:pt idx="0">
                    <c:v>Alt 1 · Manual</c:v>
                  </c:pt>
                </c:lvl>
              </c:multiLvlStrCache>
            </c:multiLvlStrRef>
          </c:cat>
          <c:val>
            <c:numRef>
              <c:f>'08. PW · AW · FW'!$C$6:$E$6</c:f>
              <c:numCache>
                <c:formatCode>\$#,##0_);[RED]"($"#,##0\)</c:formatCode>
                <c:ptCount val="3"/>
                <c:pt idx="0">
                  <c:v>-1870446.07939633</c:v>
                </c:pt>
                <c:pt idx="1">
                  <c:v>-1285410.31685229</c:v>
                </c:pt>
                <c:pt idx="2">
                  <c:v>-1094460.7582287</c:v>
                </c:pt>
              </c:numCache>
            </c:numRef>
          </c:val>
        </c:ser>
        <c:gapWidth val="150"/>
        <c:overlap val="0"/>
        <c:axId val="88877000"/>
        <c:axId val="91479417"/>
      </c:barChart>
      <c:catAx>
        <c:axId val="8887700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91479417"/>
        <c:crosses val="autoZero"/>
        <c:auto val="1"/>
        <c:lblAlgn val="ctr"/>
        <c:lblOffset val="100"/>
        <c:noMultiLvlLbl val="0"/>
      </c:catAx>
      <c:valAx>
        <c:axId val="9147941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88877000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800" b="1" u="none" strike="noStrike">
                <a:solidFill>
                  <a:srgbClr val="000000"/>
                </a:solidFill>
                <a:uFillTx/>
                <a:latin typeface="Calibri"/>
              </a:rPr>
              <a:t>Sensitivity — Δ vs baseline PW = $-1,094,461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stacked"/>
        <c:varyColors val="0"/>
        <c:ser>
          <c:idx val="0"/>
          <c:order val="0"/>
          <c:tx>
            <c:strRef>
              <c:f>"Low (downside)"</c:f>
              <c:strCache>
                <c:ptCount val="1"/>
                <c:pt idx="0">
                  <c:v>Low (downside)</c:v>
                </c:pt>
              </c:strCache>
            </c:strRef>
          </c:tx>
          <c:spPr>
            <a:solidFill>
              <a:srgbClr val="C0392B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'12. Sensitivity'!$B$13:$B$17</c:f>
              <c:strCache>
                <c:ptCount val="5"/>
                <c:pt idx="0">
                  <c:v>Annual Cost ±20%</c:v>
                </c:pt>
                <c:pt idx="1">
                  <c:v>MARR ±5 pp</c:v>
                </c:pt>
                <c:pt idx="2">
                  <c:v>Initial Investment ±20%</c:v>
                </c:pt>
                <c:pt idx="3">
                  <c:v>Accident freq ±50%</c:v>
                </c:pt>
                <c:pt idx="4">
                  <c:v>Salvage value ±50%</c:v>
                </c:pt>
              </c:strCache>
            </c:strRef>
          </c:cat>
          <c:val>
            <c:numRef>
              <c:f>'12. Sensitivity'!$C$13:$C$17</c:f>
              <c:numCache>
                <c:formatCode>\$#,##0_);[RED]"($"#,##0\)</c:formatCode>
                <c:ptCount val="5"/>
                <c:pt idx="0">
                  <c:v>150846.979410513</c:v>
                </c:pt>
                <c:pt idx="1">
                  <c:v>-88792.559043467</c:v>
                </c:pt>
                <c:pt idx="2">
                  <c:v>76000.0000000001</c:v>
                </c:pt>
                <c:pt idx="3">
                  <c:v>25141.1632350856</c:v>
                </c:pt>
                <c:pt idx="4">
                  <c:v>-19887.0694119316</c:v>
                </c:pt>
              </c:numCache>
            </c:numRef>
          </c:val>
        </c:ser>
        <c:ser>
          <c:idx val="1"/>
          <c:order val="1"/>
          <c:tx>
            <c:strRef>
              <c:f>"High (upside)"</c:f>
              <c:strCache>
                <c:ptCount val="1"/>
                <c:pt idx="0">
                  <c:v>High (upside)</c:v>
                </c:pt>
              </c:strCache>
            </c:strRef>
          </c:tx>
          <c:spPr>
            <a:solidFill>
              <a:srgbClr val="19C37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'12. Sensitivity'!$B$13:$B$17</c:f>
              <c:strCache>
                <c:ptCount val="5"/>
                <c:pt idx="0">
                  <c:v>Annual Cost ±20%</c:v>
                </c:pt>
                <c:pt idx="1">
                  <c:v>MARR ±5 pp</c:v>
                </c:pt>
                <c:pt idx="2">
                  <c:v>Initial Investment ±20%</c:v>
                </c:pt>
                <c:pt idx="3">
                  <c:v>Accident freq ±50%</c:v>
                </c:pt>
                <c:pt idx="4">
                  <c:v>Salvage value ±50%</c:v>
                </c:pt>
              </c:strCache>
            </c:strRef>
          </c:cat>
          <c:val>
            <c:numRef>
              <c:f>'12. Sensitivity'!$D$13:$D$17</c:f>
              <c:numCache>
                <c:formatCode>\$#,##0_);[RED]"($"#,##0\)</c:formatCode>
                <c:ptCount val="5"/>
                <c:pt idx="0">
                  <c:v>-150846.979410513</c:v>
                </c:pt>
                <c:pt idx="1">
                  <c:v>73723.2325085376</c:v>
                </c:pt>
                <c:pt idx="2">
                  <c:v>-76000</c:v>
                </c:pt>
                <c:pt idx="3">
                  <c:v>-25141.1632350856</c:v>
                </c:pt>
                <c:pt idx="4">
                  <c:v>19887.0694119316</c:v>
                </c:pt>
              </c:numCache>
            </c:numRef>
          </c:val>
        </c:ser>
        <c:gapWidth val="150"/>
        <c:overlap val="100"/>
        <c:axId val="41989887"/>
        <c:axId val="38906264"/>
      </c:barChart>
      <c:catAx>
        <c:axId val="41989887"/>
        <c:scaling>
          <c:orientation val="maxMin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38906264"/>
        <c:crosses val="autoZero"/>
        <c:auto val="1"/>
        <c:lblAlgn val="ctr"/>
        <c:lblOffset val="100"/>
        <c:noMultiLvlLbl val="0"/>
      </c:catAx>
      <c:valAx>
        <c:axId val="3890626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Δ PW (USD)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\$#,##0;[RED]\$#,##0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41989887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style1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2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3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4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5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2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3.xml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chart" Target="../charts/chart4.xml"/>
</Relationships>
</file>

<file path=xl/drawings/_rels/drawing5.xml.rels><?xml version="1.0" encoding="UTF-8"?>
<Relationships xmlns="http://schemas.openxmlformats.org/package/2006/relationships"><Relationship Id="rId1" Type="http://schemas.openxmlformats.org/officeDocument/2006/relationships/chart" Target="../charts/chart5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8</xdr:col>
      <xdr:colOff>0</xdr:colOff>
      <xdr:row>12</xdr:row>
      <xdr:rowOff>0</xdr:rowOff>
    </xdr:from>
    <xdr:to>
      <xdr:col>18</xdr:col>
      <xdr:colOff>123480</xdr:colOff>
      <xdr:row>29</xdr:row>
      <xdr:rowOff>136800</xdr:rowOff>
    </xdr:to>
    <xdr:graphicFrame>
      <xdr:nvGraphicFramePr>
        <xdr:cNvPr id="1" name="Chart 1"/>
        <xdr:cNvGraphicFramePr/>
      </xdr:nvGraphicFramePr>
      <xdr:xfrm>
        <a:off x="11658600" y="3000240"/>
        <a:ext cx="8082720" cy="30376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8</xdr:col>
      <xdr:colOff>0</xdr:colOff>
      <xdr:row>12</xdr:row>
      <xdr:rowOff>0</xdr:rowOff>
    </xdr:from>
    <xdr:to>
      <xdr:col>18</xdr:col>
      <xdr:colOff>123480</xdr:colOff>
      <xdr:row>30</xdr:row>
      <xdr:rowOff>27360</xdr:rowOff>
    </xdr:to>
    <xdr:graphicFrame>
      <xdr:nvGraphicFramePr>
        <xdr:cNvPr id="2" name="Chart 1"/>
        <xdr:cNvGraphicFramePr/>
      </xdr:nvGraphicFramePr>
      <xdr:xfrm>
        <a:off x="11658600" y="2811240"/>
        <a:ext cx="8516880" cy="31363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8</xdr:col>
      <xdr:colOff>0</xdr:colOff>
      <xdr:row>12</xdr:row>
      <xdr:rowOff>0</xdr:rowOff>
    </xdr:from>
    <xdr:to>
      <xdr:col>18</xdr:col>
      <xdr:colOff>123480</xdr:colOff>
      <xdr:row>30</xdr:row>
      <xdr:rowOff>27360</xdr:rowOff>
    </xdr:to>
    <xdr:graphicFrame>
      <xdr:nvGraphicFramePr>
        <xdr:cNvPr id="3" name="Chart 1"/>
        <xdr:cNvGraphicFramePr/>
      </xdr:nvGraphicFramePr>
      <xdr:xfrm>
        <a:off x="11658600" y="2811240"/>
        <a:ext cx="8618400" cy="31820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14</xdr:row>
      <xdr:rowOff>0</xdr:rowOff>
    </xdr:from>
    <xdr:to>
      <xdr:col>4</xdr:col>
      <xdr:colOff>1380600</xdr:colOff>
      <xdr:row>33</xdr:row>
      <xdr:rowOff>28080</xdr:rowOff>
    </xdr:to>
    <xdr:graphicFrame>
      <xdr:nvGraphicFramePr>
        <xdr:cNvPr id="4" name="Chart 1"/>
        <xdr:cNvGraphicFramePr/>
      </xdr:nvGraphicFramePr>
      <xdr:xfrm>
        <a:off x="217080" y="2906280"/>
        <a:ext cx="7953120" cy="31294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19</xdr:row>
      <xdr:rowOff>0</xdr:rowOff>
    </xdr:from>
    <xdr:to>
      <xdr:col>6</xdr:col>
      <xdr:colOff>199800</xdr:colOff>
      <xdr:row>38</xdr:row>
      <xdr:rowOff>14760</xdr:rowOff>
    </xdr:to>
    <xdr:graphicFrame>
      <xdr:nvGraphicFramePr>
        <xdr:cNvPr id="5" name="Chart 1"/>
        <xdr:cNvGraphicFramePr/>
      </xdr:nvGraphicFramePr>
      <xdr:xfrm>
        <a:off x="217080" y="3980880"/>
        <a:ext cx="8646840" cy="33447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www.rsmeans.com/model-pages/office-11-20-story" TargetMode="External"/><Relationship Id="rId2" Type="http://schemas.openxmlformats.org/officeDocument/2006/relationships/hyperlink" Target="https://www.construction.com/toolkit/reports" TargetMode="Externa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s://www.enr.com/economics" TargetMode="External"/><Relationship Id="rId2" Type="http://schemas.openxmlformats.org/officeDocument/2006/relationships/hyperlink" Target="https://www.procore.com/pricing" TargetMode="External"/><Relationship Id="rId3" Type="http://schemas.openxmlformats.org/officeDocument/2006/relationships/hyperlink" Target="https://www.axis.com/products/network-cameras" TargetMode="External"/><Relationship Id="rId4" Type="http://schemas.openxmlformats.org/officeDocument/2006/relationships/hyperlink" Target="https://www.nvidia.com/en-us/autonomous-machines/embedded-systems/jetson-orin/" TargetMode="External"/><Relationship Id="rId5" Type="http://schemas.openxmlformats.org/officeDocument/2006/relationships/hyperlink" Target="https://www.nvidia.com/en-us/autonomous-machines/embedded-systems/jetson-orin/" TargetMode="External"/><Relationship Id="rId6" Type="http://schemas.openxmlformats.org/officeDocument/2006/relationships/hyperlink" Target="https://www.enr.com/economics" TargetMode="External"/><Relationship Id="rId7" Type="http://schemas.openxmlformats.org/officeDocument/2006/relationships/hyperlink" Target="https://www.glassdoor.com/Salaries/machine-learning-engineer-salary-SRCH_KO0,25.htm" TargetMode="External"/><Relationship Id="rId8" Type="http://schemas.openxmlformats.org/officeDocument/2006/relationships/hyperlink" Target="https://www.agc.org/learn/construction-data/2024-construction-outlook-survey" TargetMode="Externa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https://www.bls.gov/oes/current/oes299011.htm" TargetMode="External"/><Relationship Id="rId2" Type="http://schemas.openxmlformats.org/officeDocument/2006/relationships/hyperlink" Target="https://www.libertymutualgroup.com/about-lm/news/news-release-archive/articles/2024-workplace-safety-index" TargetMode="External"/><Relationship Id="rId3" Type="http://schemas.openxmlformats.org/officeDocument/2006/relationships/hyperlink" Target="https://www.construction-institute.org/resources/knowledgebase/best-practices/rework-management" TargetMode="External"/><Relationship Id="rId4" Type="http://schemas.openxmlformats.org/officeDocument/2006/relationships/hyperlink" Target="https://www.agc.org/learn/construction-data/2024-construction-outlook-survey" TargetMode="External"/><Relationship Id="rId5" Type="http://schemas.openxmlformats.org/officeDocument/2006/relationships/hyperlink" Target="https://www.procore.com/pricing" TargetMode="External"/><Relationship Id="rId6" Type="http://schemas.openxmlformats.org/officeDocument/2006/relationships/hyperlink" Target="https://www.openspace.ai/" TargetMode="External"/><Relationship Id="rId7" Type="http://schemas.openxmlformats.org/officeDocument/2006/relationships/hyperlink" Target="https://www.bls.gov/oes/current/oes299011.htm" TargetMode="External"/><Relationship Id="rId8" Type="http://schemas.openxmlformats.org/officeDocument/2006/relationships/hyperlink" Target="https://www.buildots.com/case-studies" TargetMode="External"/><Relationship Id="rId9" Type="http://schemas.openxmlformats.org/officeDocument/2006/relationships/hyperlink" Target="https://www.construction-institute.org/resources/knowledgebase/best-practices/rework-management" TargetMode="External"/><Relationship Id="rId10" Type="http://schemas.openxmlformats.org/officeDocument/2006/relationships/hyperlink" Target="https://www.glassdoor.com/Salaries/machine-learning-engineer-salary-SRCH_KO0,25.htm" TargetMode="External"/><Relationship Id="rId11" Type="http://schemas.openxmlformats.org/officeDocument/2006/relationships/hyperlink" Target="https://calculator.aws/" TargetMode="External"/><Relationship Id="rId12" Type="http://schemas.openxmlformats.org/officeDocument/2006/relationships/hyperlink" Target="https://www.axis.com/products/network-cameras" TargetMode="External"/><Relationship Id="rId13" Type="http://schemas.openxmlformats.org/officeDocument/2006/relationships/hyperlink" Target="https://www.buildots.com/case-studies" TargetMode="External"/><Relationship Id="rId14" Type="http://schemas.openxmlformats.org/officeDocument/2006/relationships/hyperlink" Target="https://www.construction-institute.org/resources/knowledgebase/best-practices/rework-management" TargetMode="Externa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hyperlink" Target="https://www.bls.gov/oes/current/oes299011.htm" TargetMode="Externa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hyperlink" Target="https://www.bls.gov/oes/current/oes299011.htm" TargetMode="External"/><Relationship Id="rId2" Type="http://schemas.openxmlformats.org/officeDocument/2006/relationships/hyperlink" Target="https://www.bls.gov/oes/current/oes119021.htm" TargetMode="External"/><Relationship Id="rId3" Type="http://schemas.openxmlformats.org/officeDocument/2006/relationships/hyperlink" Target="https://www.bls.gov/news.release/ecec.htm" TargetMode="External"/><Relationship Id="rId4" Type="http://schemas.openxmlformats.org/officeDocument/2006/relationships/hyperlink" Target="https://www.libertymutualgroup.com/about-lm/news/news-release-archive/articles/2024-workplace-safety-index" TargetMode="External"/><Relationship Id="rId5" Type="http://schemas.openxmlformats.org/officeDocument/2006/relationships/hyperlink" Target="https://www.bls.gov/iif/oshcfoi1.htm" TargetMode="External"/><Relationship Id="rId6" Type="http://schemas.openxmlformats.org/officeDocument/2006/relationships/hyperlink" Target="https://www.osha.gov/penalties" TargetMode="External"/><Relationship Id="rId7" Type="http://schemas.openxmlformats.org/officeDocument/2006/relationships/hyperlink" Target="https://www.construction-institute.org/resources/knowledgebase/best-practices/rework-management" TargetMode="External"/><Relationship Id="rId8" Type="http://schemas.openxmlformats.org/officeDocument/2006/relationships/hyperlink" Target="https://www.enr.com/economics" TargetMode="External"/><Relationship Id="rId9" Type="http://schemas.openxmlformats.org/officeDocument/2006/relationships/hyperlink" Target="https://www.procore.com/pricing" TargetMode="External"/><Relationship Id="rId10" Type="http://schemas.openxmlformats.org/officeDocument/2006/relationships/hyperlink" Target="https://www.openspace.ai/" TargetMode="External"/><Relationship Id="rId11" Type="http://schemas.openxmlformats.org/officeDocument/2006/relationships/hyperlink" Target="https://www.buildots.com/case-studies" TargetMode="External"/><Relationship Id="rId12" Type="http://schemas.openxmlformats.org/officeDocument/2006/relationships/hyperlink" Target="https://www.skydio.com/skydio-x10" TargetMode="External"/><Relationship Id="rId13" Type="http://schemas.openxmlformats.org/officeDocument/2006/relationships/hyperlink" Target="https://www.nvidia.com/en-us/autonomous-machines/embedded-systems/jetson-orin/" TargetMode="External"/><Relationship Id="rId14" Type="http://schemas.openxmlformats.org/officeDocument/2006/relationships/hyperlink" Target="https://www.axis.com/products/network-cameras" TargetMode="External"/><Relationship Id="rId15" Type="http://schemas.openxmlformats.org/officeDocument/2006/relationships/hyperlink" Target="https://calculator.aws/" TargetMode="External"/><Relationship Id="rId16" Type="http://schemas.openxmlformats.org/officeDocument/2006/relationships/hyperlink" Target="https://www.glassdoor.com/Salaries/machine-learning-engineer-salary-SRCH_KO0,25.htm" TargetMode="External"/><Relationship Id="rId17" Type="http://schemas.openxmlformats.org/officeDocument/2006/relationships/hyperlink" Target="https://www.construction.com/toolkit/reports" TargetMode="External"/><Relationship Id="rId18" Type="http://schemas.openxmlformats.org/officeDocument/2006/relationships/hyperlink" Target="https://www.agc.org/learn/construction-data/2024-construction-outlook-survey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E3A5F"/>
    <pageSetUpPr fitToPage="false"/>
  </sheetPr>
  <dimension ref="B1:E46"/>
  <sheetViews>
    <sheetView showFormulas="false" showGridLines="false" showRowColHeaders="true" showZeros="true" rightToLeft="false" tabSelected="false" showOutlineSymbols="true" defaultGridColor="true" view="normal" topLeftCell="A26" colorId="64" zoomScale="100" zoomScaleNormal="100" zoomScalePageLayoutView="100" workbookViewId="0">
      <selection pane="topLeft" activeCell="C17" activeCellId="0" sqref="C17"/>
    </sheetView>
  </sheetViews>
  <sheetFormatPr defaultColWidth="8.59765625" defaultRowHeight="12.8" customHeight="false" zeroHeight="false" outlineLevelRow="0" outlineLevelCol="0"/>
  <cols>
    <col collapsed="false" customWidth="true" hidden="false" outlineLevel="0" max="1" min="1" style="0" width="2.71"/>
    <col collapsed="false" customWidth="true" hidden="false" outlineLevel="0" max="2" min="2" style="0" width="38.71"/>
    <col collapsed="false" customWidth="true" hidden="false" outlineLevel="0" max="3" min="3" style="0" width="60.72"/>
    <col collapsed="false" customWidth="true" hidden="false" outlineLevel="0" max="4" min="4" style="0" width="14.71"/>
    <col collapsed="false" customWidth="true" hidden="false" outlineLevel="0" max="5" min="5" style="0" width="30.71"/>
  </cols>
  <sheetData>
    <row r="1" customFormat="false" ht="7.5" hidden="false" customHeight="true" outlineLevel="0" collapsed="false"/>
    <row r="2" customFormat="false" ht="13.8" hidden="false" customHeight="false" outlineLevel="0" collapsed="false"/>
    <row r="3" customFormat="false" ht="36" hidden="false" customHeight="true" outlineLevel="0" collapsed="false">
      <c r="B3" s="1" t="s">
        <v>0</v>
      </c>
    </row>
    <row r="4" customFormat="false" ht="24" hidden="false" customHeight="true" outlineLevel="0" collapsed="false">
      <c r="B4" s="2" t="s">
        <v>1</v>
      </c>
    </row>
    <row r="5" customFormat="false" ht="7.5" hidden="false" customHeight="true" outlineLevel="0" collapsed="false">
      <c r="D5" s="0" t="s">
        <v>2</v>
      </c>
      <c r="E5" s="0" t="s">
        <v>3</v>
      </c>
    </row>
    <row r="6" customFormat="false" ht="17.35" hidden="false" customHeight="false" outlineLevel="0" collapsed="false">
      <c r="B6" s="3" t="s">
        <v>4</v>
      </c>
      <c r="C6" s="3"/>
      <c r="D6" s="3"/>
      <c r="E6" s="3"/>
    </row>
    <row r="7" customFormat="false" ht="13.8" hidden="false" customHeight="false" outlineLevel="0" collapsed="false"/>
    <row r="8" customFormat="false" ht="16.4" hidden="false" customHeight="true" outlineLevel="0" collapsed="false">
      <c r="B8" s="4" t="s">
        <v>5</v>
      </c>
      <c r="C8" s="5" t="s">
        <v>6</v>
      </c>
      <c r="D8" s="5"/>
      <c r="E8" s="5"/>
    </row>
    <row r="9" customFormat="false" ht="16.4" hidden="false" customHeight="true" outlineLevel="0" collapsed="false">
      <c r="B9" s="4" t="s">
        <v>7</v>
      </c>
      <c r="C9" s="5" t="s">
        <v>8</v>
      </c>
      <c r="D9" s="5"/>
      <c r="E9" s="5"/>
    </row>
    <row r="10" customFormat="false" ht="16.4" hidden="false" customHeight="true" outlineLevel="0" collapsed="false">
      <c r="B10" s="4" t="s">
        <v>9</v>
      </c>
      <c r="C10" s="5" t="s">
        <v>10</v>
      </c>
      <c r="D10" s="5"/>
      <c r="E10" s="5"/>
    </row>
    <row r="11" customFormat="false" ht="16.4" hidden="false" customHeight="true" outlineLevel="0" collapsed="false">
      <c r="B11" s="4" t="s">
        <v>11</v>
      </c>
      <c r="C11" s="5" t="s">
        <v>12</v>
      </c>
      <c r="D11" s="5"/>
      <c r="E11" s="5"/>
    </row>
    <row r="12" customFormat="false" ht="16.4" hidden="false" customHeight="true" outlineLevel="0" collapsed="false">
      <c r="B12" s="4" t="s">
        <v>13</v>
      </c>
      <c r="C12" s="5" t="s">
        <v>14</v>
      </c>
      <c r="D12" s="5"/>
      <c r="E12" s="5"/>
    </row>
    <row r="13" customFormat="false" ht="16.4" hidden="false" customHeight="true" outlineLevel="0" collapsed="false">
      <c r="B13" s="4" t="s">
        <v>15</v>
      </c>
      <c r="C13" s="5" t="s">
        <v>16</v>
      </c>
      <c r="D13" s="5"/>
      <c r="E13" s="5"/>
    </row>
    <row r="14" customFormat="false" ht="16.4" hidden="false" customHeight="true" outlineLevel="0" collapsed="false">
      <c r="B14" s="4" t="s">
        <v>17</v>
      </c>
      <c r="C14" s="5" t="s">
        <v>18</v>
      </c>
      <c r="D14" s="5"/>
      <c r="E14" s="5"/>
    </row>
    <row r="15" customFormat="false" ht="16.4" hidden="false" customHeight="true" outlineLevel="0" collapsed="false">
      <c r="B15" s="4" t="s">
        <v>19</v>
      </c>
      <c r="C15" s="5" t="s">
        <v>20</v>
      </c>
      <c r="D15" s="5"/>
      <c r="E15" s="5"/>
    </row>
    <row r="16" customFormat="false" ht="16.4" hidden="false" customHeight="true" outlineLevel="0" collapsed="false">
      <c r="B16" s="4" t="s">
        <v>21</v>
      </c>
      <c r="C16" s="5" t="s">
        <v>22</v>
      </c>
      <c r="D16" s="5"/>
      <c r="E16" s="5"/>
    </row>
    <row r="17" customFormat="false" ht="16.4" hidden="false" customHeight="true" outlineLevel="0" collapsed="false">
      <c r="B17" s="4" t="s">
        <v>23</v>
      </c>
      <c r="C17" s="5" t="s">
        <v>24</v>
      </c>
      <c r="D17" s="5"/>
      <c r="E17" s="5"/>
    </row>
    <row r="18" customFormat="false" ht="16.4" hidden="false" customHeight="true" outlineLevel="0" collapsed="false">
      <c r="B18" s="4" t="s">
        <v>25</v>
      </c>
      <c r="C18" s="5" t="s">
        <v>26</v>
      </c>
      <c r="D18" s="5"/>
      <c r="E18" s="5"/>
    </row>
    <row r="19" customFormat="false" ht="16.4" hidden="false" customHeight="true" outlineLevel="0" collapsed="false">
      <c r="B19" s="4" t="s">
        <v>27</v>
      </c>
      <c r="C19" s="5" t="s">
        <v>28</v>
      </c>
      <c r="D19" s="5"/>
      <c r="E19" s="5"/>
    </row>
    <row r="20" customFormat="false" ht="13.8" hidden="false" customHeight="false" outlineLevel="0" collapsed="false"/>
    <row r="21" customFormat="false" ht="17.35" hidden="false" customHeight="false" outlineLevel="0" collapsed="false">
      <c r="B21" s="3" t="s">
        <v>29</v>
      </c>
      <c r="C21" s="3"/>
      <c r="D21" s="3"/>
      <c r="E21" s="3"/>
    </row>
    <row r="22" customFormat="false" ht="16.4" hidden="false" customHeight="false" outlineLevel="0" collapsed="false">
      <c r="B22" s="6" t="s">
        <v>30</v>
      </c>
      <c r="C22" s="6" t="s">
        <v>31</v>
      </c>
      <c r="D22" s="7" t="s">
        <v>32</v>
      </c>
      <c r="E22" s="6" t="s">
        <v>33</v>
      </c>
    </row>
    <row r="23" customFormat="false" ht="46.25" hidden="false" customHeight="false" outlineLevel="0" collapsed="false">
      <c r="B23" s="4" t="s">
        <v>34</v>
      </c>
      <c r="C23" s="5" t="s">
        <v>35</v>
      </c>
      <c r="D23" s="8" t="s">
        <v>36</v>
      </c>
      <c r="E23" s="5" t="s">
        <v>37</v>
      </c>
    </row>
    <row r="24" customFormat="false" ht="46.25" hidden="false" customHeight="false" outlineLevel="0" collapsed="false">
      <c r="B24" s="4" t="s">
        <v>38</v>
      </c>
      <c r="C24" s="5" t="s">
        <v>39</v>
      </c>
      <c r="D24" s="8" t="s">
        <v>40</v>
      </c>
      <c r="E24" s="5" t="s">
        <v>41</v>
      </c>
    </row>
    <row r="25" customFormat="false" ht="13.8" hidden="false" customHeight="false" outlineLevel="0" collapsed="false"/>
    <row r="26" customFormat="false" ht="17.35" hidden="false" customHeight="false" outlineLevel="0" collapsed="false">
      <c r="B26" s="3" t="s">
        <v>42</v>
      </c>
      <c r="C26" s="3"/>
      <c r="D26" s="3"/>
      <c r="E26" s="3"/>
    </row>
    <row r="27" customFormat="false" ht="17.9" hidden="false" customHeight="false" outlineLevel="0" collapsed="false">
      <c r="B27" s="9" t="s">
        <v>43</v>
      </c>
    </row>
    <row r="28" customFormat="false" ht="17.9" hidden="false" customHeight="false" outlineLevel="0" collapsed="false">
      <c r="B28" s="9" t="s">
        <v>44</v>
      </c>
    </row>
    <row r="29" customFormat="false" ht="17.9" hidden="false" customHeight="false" outlineLevel="0" collapsed="false">
      <c r="B29" s="9" t="s">
        <v>45</v>
      </c>
    </row>
    <row r="30" customFormat="false" ht="17.9" hidden="false" customHeight="false" outlineLevel="0" collapsed="false">
      <c r="B30" s="9" t="s">
        <v>46</v>
      </c>
    </row>
    <row r="31" customFormat="false" ht="17.9" hidden="false" customHeight="false" outlineLevel="0" collapsed="false">
      <c r="B31" s="9" t="s">
        <v>47</v>
      </c>
    </row>
    <row r="32" customFormat="false" ht="17.9" hidden="false" customHeight="false" outlineLevel="0" collapsed="false">
      <c r="B32" s="9" t="s">
        <v>48</v>
      </c>
    </row>
    <row r="33" customFormat="false" ht="17.9" hidden="false" customHeight="false" outlineLevel="0" collapsed="false">
      <c r="B33" s="9" t="s">
        <v>49</v>
      </c>
    </row>
    <row r="34" customFormat="false" ht="17.9" hidden="false" customHeight="false" outlineLevel="0" collapsed="false">
      <c r="B34" s="9" t="s">
        <v>50</v>
      </c>
    </row>
    <row r="35" customFormat="false" ht="17.9" hidden="false" customHeight="false" outlineLevel="0" collapsed="false">
      <c r="B35" s="9" t="s">
        <v>51</v>
      </c>
    </row>
    <row r="36" customFormat="false" ht="17.9" hidden="false" customHeight="false" outlineLevel="0" collapsed="false">
      <c r="B36" s="9" t="s">
        <v>52</v>
      </c>
    </row>
    <row r="37" customFormat="false" ht="17.9" hidden="false" customHeight="false" outlineLevel="0" collapsed="false">
      <c r="B37" s="9" t="s">
        <v>53</v>
      </c>
    </row>
    <row r="38" customFormat="false" ht="17.9" hidden="false" customHeight="false" outlineLevel="0" collapsed="false">
      <c r="B38" s="9" t="s">
        <v>54</v>
      </c>
    </row>
    <row r="39" customFormat="false" ht="17.9" hidden="false" customHeight="false" outlineLevel="0" collapsed="false">
      <c r="B39" s="9" t="s">
        <v>55</v>
      </c>
    </row>
    <row r="40" customFormat="false" ht="17.9" hidden="false" customHeight="false" outlineLevel="0" collapsed="false">
      <c r="B40" s="9" t="s">
        <v>56</v>
      </c>
    </row>
    <row r="41" customFormat="false" ht="17.9" hidden="false" customHeight="false" outlineLevel="0" collapsed="false">
      <c r="B41" s="9" t="s">
        <v>57</v>
      </c>
    </row>
    <row r="42" customFormat="false" ht="13.8" hidden="false" customHeight="false" outlineLevel="0" collapsed="false"/>
    <row r="43" customFormat="false" ht="17.35" hidden="false" customHeight="false" outlineLevel="0" collapsed="false">
      <c r="B43" s="3" t="s">
        <v>58</v>
      </c>
      <c r="C43" s="3"/>
      <c r="D43" s="3"/>
      <c r="E43" s="3"/>
    </row>
    <row r="44" customFormat="false" ht="13.8" hidden="false" customHeight="true" outlineLevel="0" collapsed="false">
      <c r="B44" s="10" t="s">
        <v>59</v>
      </c>
      <c r="C44" s="10"/>
      <c r="D44" s="10"/>
      <c r="E44" s="10"/>
    </row>
    <row r="45" customFormat="false" ht="13.8" hidden="false" customHeight="false" outlineLevel="0" collapsed="false">
      <c r="B45" s="10"/>
      <c r="C45" s="10"/>
      <c r="D45" s="10"/>
      <c r="E45" s="10"/>
    </row>
    <row r="46" customFormat="false" ht="13.8" hidden="false" customHeight="false" outlineLevel="0" collapsed="false">
      <c r="B46" s="10"/>
      <c r="C46" s="10"/>
      <c r="D46" s="10"/>
      <c r="E46" s="10"/>
    </row>
  </sheetData>
  <mergeCells count="17">
    <mergeCell ref="B6:E6"/>
    <mergeCell ref="C8:E8"/>
    <mergeCell ref="C9:E9"/>
    <mergeCell ref="C10:E10"/>
    <mergeCell ref="C11:E11"/>
    <mergeCell ref="C12:E12"/>
    <mergeCell ref="C13:E13"/>
    <mergeCell ref="C14:E14"/>
    <mergeCell ref="C15:E15"/>
    <mergeCell ref="C16:E16"/>
    <mergeCell ref="C17:E17"/>
    <mergeCell ref="C18:E18"/>
    <mergeCell ref="C19:E19"/>
    <mergeCell ref="B21:E21"/>
    <mergeCell ref="B26:E26"/>
    <mergeCell ref="B43:E43"/>
    <mergeCell ref="B44:E46"/>
  </mergeCells>
  <hyperlinks>
    <hyperlink ref="B27" location="'01. Cover'!A1" display="01. Cover &amp; Briefing"/>
    <hyperlink ref="B28" location="'02. Assumptions'!A1" display="02. General Assumptions"/>
    <hyperlink ref="B29" location="'03. Initial Investment'!A1" display="03. Initial Investment Detail"/>
    <hyperlink ref="B30" location="'04. Annual Cost'!A1" display="04. Annual Cost Detail"/>
    <hyperlink ref="B31" location="'05. CF — Alt 1 Manual'!A1" display="05. Cash Flow — Alt 1 (Manual)"/>
    <hyperlink ref="B32" location="'06. CF — Alt 2 SaaS'!A1" display="06. Cash Flow — Alt 2 (SaaS)"/>
    <hyperlink ref="B33" location="'07. CF — Alt 3 In-House'!A1" display="07. Cash Flow — Alt 3 (In-House)"/>
    <hyperlink ref="B34" location="'08. PW · AW · FW'!A1" display="08. Worth Analysis: PW · AW · FW"/>
    <hyperlink ref="B35" location="'09. Payback'!A1" display="09. Payback Period"/>
    <hyperlink ref="B36" location="'10. IRR · ROR'!A1" display="10. Rate of Return (IRR &amp; ROR)"/>
    <hyperlink ref="B37" location="'11. B over C'!A1" display="11. Benefit / Cost Ratio"/>
    <hyperlink ref="B38" location="'12. Break-Even'!A1" display="12. Break-Even Analysis"/>
    <hyperlink ref="B39" location="'13. Sensitivity'!A1" display="13. Sensitivity Analysis"/>
    <hyperlink ref="B40" location="'14. Recommendation'!A1" display="14. Recommendation &amp; Conclusion"/>
    <hyperlink ref="B41" location="'15. Sources'!A1" display="15. Sources &amp; References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E3A5F"/>
    <pageSetUpPr fitToPage="false"/>
  </sheetPr>
  <dimension ref="B1:E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C10" activeCellId="0" sqref="C10"/>
    </sheetView>
  </sheetViews>
  <sheetFormatPr defaultColWidth="8.59765625" defaultRowHeight="12.8" customHeight="false" zeroHeight="false" outlineLevelRow="0" outlineLevelCol="0"/>
  <cols>
    <col collapsed="false" customWidth="true" hidden="false" outlineLevel="0" max="1" min="1" style="0" width="2.71"/>
    <col collapsed="false" customWidth="true" hidden="false" outlineLevel="0" max="2" min="2" style="0" width="38.71"/>
    <col collapsed="false" customWidth="true" hidden="false" outlineLevel="0" max="3" min="3" style="0" width="22.71"/>
    <col collapsed="false" customWidth="true" hidden="false" outlineLevel="0" max="4" min="4" style="0" width="60.72"/>
    <col collapsed="false" customWidth="true" hidden="false" outlineLevel="0" max="5" min="5" style="0" width="26.71"/>
  </cols>
  <sheetData>
    <row r="1" customFormat="false" ht="13.8" hidden="false" customHeight="false" outlineLevel="0" collapsed="false"/>
    <row r="2" customFormat="false" ht="31.5" hidden="false" customHeight="false" outlineLevel="0" collapsed="false">
      <c r="B2" s="11" t="s">
        <v>60</v>
      </c>
      <c r="C2" s="11"/>
      <c r="D2" s="11"/>
      <c r="E2" s="11"/>
    </row>
    <row r="3" customFormat="false" ht="16.15" hidden="false" customHeight="false" outlineLevel="0" collapsed="false">
      <c r="B3" s="2" t="s">
        <v>61</v>
      </c>
    </row>
    <row r="4" customFormat="false" ht="13.8" hidden="false" customHeight="false" outlineLevel="0" collapsed="false"/>
    <row r="5" customFormat="false" ht="31.3" hidden="false" customHeight="false" outlineLevel="0" collapsed="false">
      <c r="B5" s="4" t="s">
        <v>62</v>
      </c>
      <c r="C5" s="12" t="n">
        <v>0.15</v>
      </c>
      <c r="D5" s="13" t="s">
        <v>2</v>
      </c>
      <c r="E5" s="14" t="s">
        <v>3</v>
      </c>
    </row>
    <row r="6" customFormat="false" ht="16.4" hidden="false" customHeight="false" outlineLevel="0" collapsed="false">
      <c r="B6" s="4" t="s">
        <v>63</v>
      </c>
      <c r="C6" s="15" t="n">
        <v>5</v>
      </c>
      <c r="D6" s="13" t="s">
        <v>64</v>
      </c>
      <c r="E6" s="13" t="s">
        <v>65</v>
      </c>
    </row>
    <row r="7" customFormat="false" ht="13.8" hidden="false" customHeight="false" outlineLevel="0" collapsed="false"/>
    <row r="8" customFormat="false" ht="13.8" hidden="false" customHeight="false" outlineLevel="0" collapsed="false">
      <c r="B8" s="16" t="s">
        <v>66</v>
      </c>
      <c r="C8" s="16"/>
      <c r="D8" s="16"/>
      <c r="E8" s="16"/>
    </row>
    <row r="9" customFormat="false" ht="16.4" hidden="false" customHeight="false" outlineLevel="0" collapsed="false">
      <c r="B9" s="4" t="s">
        <v>25</v>
      </c>
      <c r="C9" s="17" t="n">
        <v>50000000</v>
      </c>
      <c r="D9" s="13" t="s">
        <v>67</v>
      </c>
      <c r="E9" s="18" t="s">
        <v>68</v>
      </c>
    </row>
    <row r="10" customFormat="false" ht="16.4" hidden="false" customHeight="false" outlineLevel="0" collapsed="false">
      <c r="B10" s="4" t="s">
        <v>69</v>
      </c>
      <c r="C10" s="17" t="n">
        <v>10000000</v>
      </c>
      <c r="D10" s="13" t="s">
        <v>70</v>
      </c>
      <c r="E10" s="13" t="s">
        <v>71</v>
      </c>
    </row>
    <row r="11" customFormat="false" ht="16.4" hidden="false" customHeight="true" outlineLevel="0" collapsed="false">
      <c r="B11" s="4" t="s">
        <v>23</v>
      </c>
      <c r="C11" s="5" t="s">
        <v>24</v>
      </c>
      <c r="D11" s="5"/>
      <c r="E11" s="13" t="s">
        <v>72</v>
      </c>
    </row>
    <row r="12" customFormat="false" ht="16.4" hidden="false" customHeight="true" outlineLevel="0" collapsed="false">
      <c r="B12" s="4" t="s">
        <v>73</v>
      </c>
      <c r="C12" s="5" t="s">
        <v>74</v>
      </c>
      <c r="D12" s="5"/>
      <c r="E12" s="13" t="s">
        <v>72</v>
      </c>
    </row>
    <row r="13" customFormat="false" ht="16.4" hidden="false" customHeight="false" outlineLevel="0" collapsed="false">
      <c r="B13" s="4" t="s">
        <v>75</v>
      </c>
      <c r="C13" s="15" t="n">
        <v>180</v>
      </c>
      <c r="D13" s="13" t="s">
        <v>76</v>
      </c>
      <c r="E13" s="18" t="s">
        <v>77</v>
      </c>
    </row>
    <row r="14" customFormat="false" ht="13.8" hidden="false" customHeight="false" outlineLevel="0" collapsed="false"/>
    <row r="15" customFormat="false" ht="13.8" hidden="false" customHeight="false" outlineLevel="0" collapsed="false">
      <c r="B15" s="16" t="s">
        <v>78</v>
      </c>
      <c r="C15" s="16"/>
      <c r="D15" s="16"/>
      <c r="E15" s="16"/>
    </row>
    <row r="16" customFormat="false" ht="16.4" hidden="false" customHeight="false" outlineLevel="0" collapsed="false">
      <c r="B16" s="6" t="s">
        <v>79</v>
      </c>
      <c r="C16" s="19" t="s">
        <v>80</v>
      </c>
      <c r="D16" s="19" t="s">
        <v>81</v>
      </c>
      <c r="E16" s="19" t="s">
        <v>82</v>
      </c>
    </row>
    <row r="17" customFormat="false" ht="16.4" hidden="false" customHeight="false" outlineLevel="0" collapsed="false">
      <c r="B17" s="4" t="s">
        <v>83</v>
      </c>
      <c r="C17" s="20" t="n">
        <v>10000</v>
      </c>
      <c r="D17" s="20" t="n">
        <v>555000</v>
      </c>
      <c r="E17" s="20" t="n">
        <v>0</v>
      </c>
    </row>
    <row r="18" customFormat="false" ht="16.4" hidden="false" customHeight="false" outlineLevel="0" collapsed="false">
      <c r="B18" s="4" t="s">
        <v>84</v>
      </c>
      <c r="C18" s="20" t="n">
        <v>25000</v>
      </c>
      <c r="D18" s="20" t="n">
        <v>376000</v>
      </c>
      <c r="E18" s="20" t="n">
        <v>0</v>
      </c>
    </row>
    <row r="19" customFormat="false" ht="16.4" hidden="false" customHeight="false" outlineLevel="0" collapsed="false">
      <c r="B19" s="4" t="s">
        <v>85</v>
      </c>
      <c r="C19" s="20" t="n">
        <v>380000</v>
      </c>
      <c r="D19" s="20" t="n">
        <v>225000</v>
      </c>
      <c r="E19" s="20" t="n">
        <v>80000</v>
      </c>
    </row>
  </sheetData>
  <mergeCells count="5">
    <mergeCell ref="B2:E2"/>
    <mergeCell ref="B8:E8"/>
    <mergeCell ref="C11:D11"/>
    <mergeCell ref="C12:D12"/>
    <mergeCell ref="B15:E15"/>
  </mergeCells>
  <hyperlinks>
    <hyperlink ref="E9" r:id="rId1" display="RMS_MEANS"/>
    <hyperlink ref="E13" r:id="rId2" display="Dodge 2023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D97706"/>
    <pageSetUpPr fitToPage="false"/>
  </sheetPr>
  <dimension ref="B1:F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D9" activeCellId="0" sqref="D9"/>
    </sheetView>
  </sheetViews>
  <sheetFormatPr defaultColWidth="8.59765625" defaultRowHeight="12.8" customHeight="false" zeroHeight="false" outlineLevelRow="0" outlineLevelCol="0"/>
  <cols>
    <col collapsed="false" customWidth="true" hidden="false" outlineLevel="0" max="1" min="1" style="0" width="2.71"/>
    <col collapsed="false" customWidth="true" hidden="false" outlineLevel="0" max="2" min="2" style="0" width="8.72"/>
    <col collapsed="false" customWidth="true" hidden="false" outlineLevel="0" max="3" min="3" style="0" width="50.71"/>
    <col collapsed="false" customWidth="true" hidden="false" outlineLevel="0" max="4" min="4" style="0" width="18.71"/>
    <col collapsed="false" customWidth="true" hidden="false" outlineLevel="0" max="5" min="5" style="0" width="60.72"/>
    <col collapsed="false" customWidth="true" hidden="false" outlineLevel="0" max="6" min="6" style="0" width="26.71"/>
  </cols>
  <sheetData>
    <row r="1" customFormat="false" ht="13.8" hidden="false" customHeight="false" outlineLevel="0" collapsed="false"/>
    <row r="2" customFormat="false" ht="31.5" hidden="false" customHeight="false" outlineLevel="0" collapsed="false">
      <c r="B2" s="11" t="s">
        <v>86</v>
      </c>
      <c r="C2" s="11"/>
      <c r="D2" s="11"/>
      <c r="E2" s="11"/>
      <c r="F2" s="11"/>
    </row>
    <row r="3" customFormat="false" ht="16.15" hidden="false" customHeight="false" outlineLevel="0" collapsed="false">
      <c r="B3" s="2" t="s">
        <v>87</v>
      </c>
    </row>
    <row r="4" customFormat="false" ht="13.8" hidden="false" customHeight="false" outlineLevel="0" collapsed="false"/>
    <row r="5" customFormat="false" ht="13.8" hidden="false" customHeight="false" outlineLevel="0" collapsed="false"/>
    <row r="6" customFormat="false" ht="17.35" hidden="false" customHeight="false" outlineLevel="0" collapsed="false">
      <c r="B6" s="3" t="s">
        <v>83</v>
      </c>
      <c r="C6" s="3"/>
      <c r="D6" s="3"/>
      <c r="E6" s="3"/>
      <c r="F6" s="3"/>
    </row>
    <row r="7" customFormat="false" ht="16.4" hidden="false" customHeight="false" outlineLevel="0" collapsed="false">
      <c r="B7" s="7" t="s">
        <v>88</v>
      </c>
      <c r="C7" s="6" t="s">
        <v>89</v>
      </c>
      <c r="D7" s="19" t="s">
        <v>90</v>
      </c>
      <c r="E7" s="6" t="s">
        <v>91</v>
      </c>
      <c r="F7" s="6" t="s">
        <v>92</v>
      </c>
    </row>
    <row r="8" customFormat="false" ht="16.4" hidden="false" customHeight="false" outlineLevel="0" collapsed="false">
      <c r="B8" s="8" t="n">
        <v>1</v>
      </c>
      <c r="C8" s="5" t="s">
        <v>93</v>
      </c>
      <c r="D8" s="17" t="n">
        <v>10000</v>
      </c>
      <c r="E8" s="13" t="s">
        <v>94</v>
      </c>
      <c r="F8" s="18" t="s">
        <v>95</v>
      </c>
    </row>
    <row r="9" customFormat="false" ht="16.4" hidden="false" customHeight="false" outlineLevel="0" collapsed="false">
      <c r="B9" s="5"/>
      <c r="C9" s="4" t="s">
        <v>96</v>
      </c>
      <c r="D9" s="21" t="n">
        <f aca="false">SUM(D8)</f>
        <v>10000</v>
      </c>
      <c r="E9" s="5"/>
      <c r="F9" s="5"/>
    </row>
    <row r="10" customFormat="false" ht="13.8" hidden="false" customHeight="false" outlineLevel="0" collapsed="false"/>
    <row r="11" customFormat="false" ht="17.35" hidden="false" customHeight="false" outlineLevel="0" collapsed="false">
      <c r="B11" s="3" t="s">
        <v>84</v>
      </c>
      <c r="C11" s="3"/>
      <c r="D11" s="3"/>
      <c r="E11" s="3"/>
      <c r="F11" s="3"/>
    </row>
    <row r="12" customFormat="false" ht="16.4" hidden="false" customHeight="false" outlineLevel="0" collapsed="false">
      <c r="B12" s="7" t="s">
        <v>88</v>
      </c>
      <c r="C12" s="6" t="s">
        <v>89</v>
      </c>
      <c r="D12" s="19" t="s">
        <v>90</v>
      </c>
      <c r="E12" s="6" t="s">
        <v>91</v>
      </c>
      <c r="F12" s="6" t="s">
        <v>92</v>
      </c>
    </row>
    <row r="13" customFormat="false" ht="16.4" hidden="false" customHeight="false" outlineLevel="0" collapsed="false">
      <c r="B13" s="8" t="n">
        <v>1</v>
      </c>
      <c r="C13" s="5" t="s">
        <v>97</v>
      </c>
      <c r="D13" s="17" t="n">
        <v>25000</v>
      </c>
      <c r="E13" s="13" t="s">
        <v>98</v>
      </c>
      <c r="F13" s="18" t="s">
        <v>99</v>
      </c>
    </row>
    <row r="14" customFormat="false" ht="16.4" hidden="false" customHeight="false" outlineLevel="0" collapsed="false">
      <c r="B14" s="5"/>
      <c r="C14" s="4" t="s">
        <v>96</v>
      </c>
      <c r="D14" s="21" t="n">
        <f aca="false">SUM(D13)</f>
        <v>25000</v>
      </c>
      <c r="E14" s="5"/>
      <c r="F14" s="5"/>
    </row>
    <row r="15" customFormat="false" ht="13.8" hidden="false" customHeight="false" outlineLevel="0" collapsed="false"/>
    <row r="16" customFormat="false" ht="17.35" hidden="false" customHeight="false" outlineLevel="0" collapsed="false">
      <c r="B16" s="3" t="s">
        <v>85</v>
      </c>
      <c r="C16" s="3"/>
      <c r="D16" s="3"/>
      <c r="E16" s="3"/>
      <c r="F16" s="3"/>
    </row>
    <row r="17" customFormat="false" ht="16.4" hidden="false" customHeight="false" outlineLevel="0" collapsed="false">
      <c r="B17" s="7" t="s">
        <v>88</v>
      </c>
      <c r="C17" s="6" t="s">
        <v>89</v>
      </c>
      <c r="D17" s="19" t="s">
        <v>90</v>
      </c>
      <c r="E17" s="6" t="s">
        <v>91</v>
      </c>
      <c r="F17" s="6" t="s">
        <v>92</v>
      </c>
    </row>
    <row r="18" customFormat="false" ht="16.4" hidden="false" customHeight="false" outlineLevel="0" collapsed="false">
      <c r="B18" s="8" t="n">
        <v>1</v>
      </c>
      <c r="C18" s="5" t="s">
        <v>100</v>
      </c>
      <c r="D18" s="17" t="n">
        <v>60000</v>
      </c>
      <c r="E18" s="13" t="s">
        <v>101</v>
      </c>
      <c r="F18" s="18" t="s">
        <v>102</v>
      </c>
    </row>
    <row r="19" customFormat="false" ht="16.4" hidden="false" customHeight="false" outlineLevel="0" collapsed="false">
      <c r="B19" s="8" t="n">
        <v>2</v>
      </c>
      <c r="C19" s="5" t="s">
        <v>103</v>
      </c>
      <c r="D19" s="17" t="n">
        <v>20000</v>
      </c>
      <c r="E19" s="13" t="s">
        <v>104</v>
      </c>
      <c r="F19" s="18" t="s">
        <v>105</v>
      </c>
    </row>
    <row r="20" customFormat="false" ht="16.4" hidden="false" customHeight="false" outlineLevel="0" collapsed="false">
      <c r="B20" s="8" t="n">
        <v>3</v>
      </c>
      <c r="C20" s="5" t="s">
        <v>106</v>
      </c>
      <c r="D20" s="17" t="n">
        <v>30000</v>
      </c>
      <c r="E20" s="13" t="s">
        <v>107</v>
      </c>
      <c r="F20" s="18" t="s">
        <v>105</v>
      </c>
    </row>
    <row r="21" customFormat="false" ht="16.4" hidden="false" customHeight="false" outlineLevel="0" collapsed="false">
      <c r="B21" s="8" t="n">
        <v>4</v>
      </c>
      <c r="C21" s="5" t="s">
        <v>108</v>
      </c>
      <c r="D21" s="17" t="n">
        <v>40000</v>
      </c>
      <c r="E21" s="13" t="s">
        <v>109</v>
      </c>
      <c r="F21" s="18" t="s">
        <v>95</v>
      </c>
    </row>
    <row r="22" customFormat="false" ht="16.4" hidden="false" customHeight="false" outlineLevel="0" collapsed="false">
      <c r="B22" s="8" t="n">
        <v>5</v>
      </c>
      <c r="C22" s="5" t="s">
        <v>110</v>
      </c>
      <c r="D22" s="17" t="n">
        <v>180000</v>
      </c>
      <c r="E22" s="13" t="s">
        <v>111</v>
      </c>
      <c r="F22" s="18" t="s">
        <v>112</v>
      </c>
    </row>
    <row r="23" customFormat="false" ht="16.4" hidden="false" customHeight="false" outlineLevel="0" collapsed="false">
      <c r="B23" s="8" t="n">
        <v>6</v>
      </c>
      <c r="C23" s="5" t="s">
        <v>113</v>
      </c>
      <c r="D23" s="17" t="n">
        <v>50000</v>
      </c>
      <c r="E23" s="13" t="s">
        <v>114</v>
      </c>
      <c r="F23" s="18" t="s">
        <v>115</v>
      </c>
    </row>
    <row r="24" customFormat="false" ht="16.4" hidden="false" customHeight="false" outlineLevel="0" collapsed="false">
      <c r="B24" s="5"/>
      <c r="C24" s="4" t="s">
        <v>96</v>
      </c>
      <c r="D24" s="21" t="n">
        <f aca="false">SUM(D18:D23)</f>
        <v>380000</v>
      </c>
      <c r="E24" s="5"/>
      <c r="F24" s="5"/>
    </row>
  </sheetData>
  <mergeCells count="4">
    <mergeCell ref="B2:F2"/>
    <mergeCell ref="B6:F6"/>
    <mergeCell ref="B11:F11"/>
    <mergeCell ref="B16:F16"/>
  </mergeCells>
  <hyperlinks>
    <hyperlink ref="F8" r:id="rId1" display="ENR — 2024 Construction Industry Cost Indexes"/>
    <hyperlink ref="F13" r:id="rId2" display="Procore Public Pricing 2024"/>
    <hyperlink ref="F18" r:id="rId3" display="Axis Communications IP Cameras — pricing"/>
    <hyperlink ref="F19" r:id="rId4" display="NVIDIA Jetson Orin AGX — Edge AI module"/>
    <hyperlink ref="F20" r:id="rId5" display="NVIDIA Jetson Orin AGX — Edge AI module"/>
    <hyperlink ref="F21" r:id="rId6" display="ENR — 2024 Construction Industry Cost Indexes"/>
    <hyperlink ref="F22" r:id="rId7" display="Glassdoor / Levels.fyi — ML/Data Engineer median U.S. (2024)"/>
    <hyperlink ref="F23" r:id="rId8" display="AGC of America — 2024 Construction Outlook Survey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D97706"/>
    <pageSetUpPr fitToPage="false"/>
  </sheetPr>
  <dimension ref="B1:F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D11" activeCellId="0" sqref="D11"/>
    </sheetView>
  </sheetViews>
  <sheetFormatPr defaultColWidth="8.59765625" defaultRowHeight="12.8" customHeight="false" zeroHeight="false" outlineLevelRow="0" outlineLevelCol="0"/>
  <cols>
    <col collapsed="false" customWidth="true" hidden="false" outlineLevel="0" max="1" min="1" style="0" width="2.71"/>
    <col collapsed="false" customWidth="true" hidden="false" outlineLevel="0" max="2" min="2" style="0" width="8.72"/>
    <col collapsed="false" customWidth="true" hidden="false" outlineLevel="0" max="3" min="3" style="0" width="50.71"/>
    <col collapsed="false" customWidth="true" hidden="false" outlineLevel="0" max="4" min="4" style="0" width="18.71"/>
    <col collapsed="false" customWidth="true" hidden="false" outlineLevel="0" max="5" min="5" style="0" width="60.72"/>
    <col collapsed="false" customWidth="true" hidden="false" outlineLevel="0" max="6" min="6" style="0" width="26.71"/>
  </cols>
  <sheetData>
    <row r="1" customFormat="false" ht="13.8" hidden="false" customHeight="false" outlineLevel="0" collapsed="false"/>
    <row r="2" customFormat="false" ht="31.5" hidden="false" customHeight="false" outlineLevel="0" collapsed="false">
      <c r="B2" s="11" t="s">
        <v>116</v>
      </c>
      <c r="C2" s="11"/>
      <c r="D2" s="11"/>
      <c r="E2" s="11"/>
      <c r="F2" s="11"/>
    </row>
    <row r="3" customFormat="false" ht="16.15" hidden="false" customHeight="false" outlineLevel="0" collapsed="false">
      <c r="B3" s="2" t="s">
        <v>117</v>
      </c>
    </row>
    <row r="4" customFormat="false" ht="13.8" hidden="false" customHeight="false" outlineLevel="0" collapsed="false"/>
    <row r="5" customFormat="false" ht="13.8" hidden="false" customHeight="false" outlineLevel="0" collapsed="false"/>
    <row r="6" customFormat="false" ht="17.35" hidden="false" customHeight="false" outlineLevel="0" collapsed="false">
      <c r="B6" s="3" t="s">
        <v>83</v>
      </c>
      <c r="C6" s="3"/>
      <c r="D6" s="3"/>
      <c r="E6" s="3"/>
      <c r="F6" s="3"/>
    </row>
    <row r="7" customFormat="false" ht="16.4" hidden="false" customHeight="false" outlineLevel="0" collapsed="false">
      <c r="B7" s="7" t="s">
        <v>88</v>
      </c>
      <c r="C7" s="6" t="s">
        <v>89</v>
      </c>
      <c r="D7" s="19" t="s">
        <v>81</v>
      </c>
      <c r="E7" s="6" t="s">
        <v>91</v>
      </c>
      <c r="F7" s="6" t="s">
        <v>92</v>
      </c>
    </row>
    <row r="8" customFormat="false" ht="16.4" hidden="false" customHeight="false" outlineLevel="0" collapsed="false">
      <c r="B8" s="8" t="n">
        <v>1</v>
      </c>
      <c r="C8" s="5" t="s">
        <v>118</v>
      </c>
      <c r="D8" s="17" t="n">
        <v>390000</v>
      </c>
      <c r="E8" s="13" t="s">
        <v>119</v>
      </c>
      <c r="F8" s="18" t="s">
        <v>120</v>
      </c>
    </row>
    <row r="9" customFormat="false" ht="16.4" hidden="false" customHeight="false" outlineLevel="0" collapsed="false">
      <c r="B9" s="8" t="n">
        <v>2</v>
      </c>
      <c r="C9" s="5" t="s">
        <v>121</v>
      </c>
      <c r="D9" s="17" t="n">
        <v>75000</v>
      </c>
      <c r="E9" s="13" t="s">
        <v>122</v>
      </c>
      <c r="F9" s="18" t="s">
        <v>123</v>
      </c>
    </row>
    <row r="10" customFormat="false" ht="16.4" hidden="false" customHeight="false" outlineLevel="0" collapsed="false">
      <c r="B10" s="8" t="n">
        <v>3</v>
      </c>
      <c r="C10" s="5" t="s">
        <v>124</v>
      </c>
      <c r="D10" s="17" t="n">
        <v>50000</v>
      </c>
      <c r="E10" s="13" t="s">
        <v>125</v>
      </c>
      <c r="F10" s="18" t="s">
        <v>126</v>
      </c>
    </row>
    <row r="11" customFormat="false" ht="16.4" hidden="false" customHeight="false" outlineLevel="0" collapsed="false">
      <c r="B11" s="8" t="n">
        <v>4</v>
      </c>
      <c r="C11" s="5" t="s">
        <v>127</v>
      </c>
      <c r="D11" s="17" t="n">
        <v>40000</v>
      </c>
      <c r="E11" s="13" t="s">
        <v>128</v>
      </c>
      <c r="F11" s="18" t="s">
        <v>115</v>
      </c>
    </row>
    <row r="12" customFormat="false" ht="16.4" hidden="false" customHeight="false" outlineLevel="0" collapsed="false">
      <c r="B12" s="5"/>
      <c r="C12" s="4" t="s">
        <v>129</v>
      </c>
      <c r="D12" s="21" t="n">
        <f aca="false">SUM(D8:D11)</f>
        <v>555000</v>
      </c>
      <c r="E12" s="5"/>
      <c r="F12" s="5"/>
    </row>
    <row r="13" customFormat="false" ht="13.8" hidden="false" customHeight="false" outlineLevel="0" collapsed="false"/>
    <row r="14" customFormat="false" ht="17.35" hidden="false" customHeight="false" outlineLevel="0" collapsed="false">
      <c r="B14" s="3" t="s">
        <v>84</v>
      </c>
      <c r="C14" s="3"/>
      <c r="D14" s="3"/>
      <c r="E14" s="3"/>
      <c r="F14" s="3"/>
    </row>
    <row r="15" customFormat="false" ht="16.4" hidden="false" customHeight="false" outlineLevel="0" collapsed="false">
      <c r="B15" s="7" t="s">
        <v>88</v>
      </c>
      <c r="C15" s="6" t="s">
        <v>89</v>
      </c>
      <c r="D15" s="19" t="s">
        <v>81</v>
      </c>
      <c r="E15" s="6" t="s">
        <v>91</v>
      </c>
      <c r="F15" s="6" t="s">
        <v>92</v>
      </c>
    </row>
    <row r="16" customFormat="false" ht="16.4" hidden="false" customHeight="false" outlineLevel="0" collapsed="false">
      <c r="B16" s="8" t="n">
        <v>1</v>
      </c>
      <c r="C16" s="5" t="s">
        <v>130</v>
      </c>
      <c r="D16" s="17" t="n">
        <v>180000</v>
      </c>
      <c r="E16" s="13" t="s">
        <v>131</v>
      </c>
      <c r="F16" s="18" t="s">
        <v>99</v>
      </c>
    </row>
    <row r="17" customFormat="false" ht="16.4" hidden="false" customHeight="false" outlineLevel="0" collapsed="false">
      <c r="B17" s="8" t="n">
        <v>2</v>
      </c>
      <c r="C17" s="5" t="s">
        <v>132</v>
      </c>
      <c r="D17" s="17" t="n">
        <v>36000</v>
      </c>
      <c r="E17" s="13" t="s">
        <v>133</v>
      </c>
      <c r="F17" s="18" t="s">
        <v>134</v>
      </c>
    </row>
    <row r="18" customFormat="false" ht="16.4" hidden="false" customHeight="false" outlineLevel="0" collapsed="false">
      <c r="B18" s="8" t="n">
        <v>3</v>
      </c>
      <c r="C18" s="5" t="s">
        <v>135</v>
      </c>
      <c r="D18" s="17" t="n">
        <v>130000</v>
      </c>
      <c r="E18" s="13" t="s">
        <v>136</v>
      </c>
      <c r="F18" s="18" t="s">
        <v>120</v>
      </c>
    </row>
    <row r="19" customFormat="false" ht="16.4" hidden="false" customHeight="false" outlineLevel="0" collapsed="false">
      <c r="B19" s="8" t="n">
        <v>4</v>
      </c>
      <c r="C19" s="5" t="s">
        <v>137</v>
      </c>
      <c r="D19" s="17" t="n">
        <v>20000</v>
      </c>
      <c r="E19" s="13" t="s">
        <v>138</v>
      </c>
      <c r="F19" s="18" t="s">
        <v>139</v>
      </c>
    </row>
    <row r="20" customFormat="false" ht="16.4" hidden="false" customHeight="false" outlineLevel="0" collapsed="false">
      <c r="B20" s="8" t="n">
        <v>5</v>
      </c>
      <c r="C20" s="5" t="s">
        <v>140</v>
      </c>
      <c r="D20" s="17" t="n">
        <f aca="false">0.1%*'02. Assumptions'!$C$10</f>
        <v>10000</v>
      </c>
      <c r="E20" s="13" t="s">
        <v>141</v>
      </c>
      <c r="F20" s="18" t="s">
        <v>126</v>
      </c>
    </row>
    <row r="21" customFormat="false" ht="16.4" hidden="false" customHeight="false" outlineLevel="0" collapsed="false">
      <c r="B21" s="5"/>
      <c r="C21" s="4" t="s">
        <v>129</v>
      </c>
      <c r="D21" s="21" t="n">
        <f aca="false">SUM(D16:D20)</f>
        <v>376000</v>
      </c>
      <c r="E21" s="5"/>
      <c r="F21" s="5"/>
    </row>
    <row r="22" customFormat="false" ht="13.8" hidden="false" customHeight="false" outlineLevel="0" collapsed="false"/>
    <row r="23" customFormat="false" ht="17.35" hidden="false" customHeight="false" outlineLevel="0" collapsed="false">
      <c r="B23" s="3" t="s">
        <v>85</v>
      </c>
      <c r="C23" s="3"/>
      <c r="D23" s="3"/>
      <c r="E23" s="3"/>
      <c r="F23" s="3"/>
    </row>
    <row r="24" customFormat="false" ht="16.4" hidden="false" customHeight="false" outlineLevel="0" collapsed="false">
      <c r="B24" s="7" t="s">
        <v>88</v>
      </c>
      <c r="C24" s="6" t="s">
        <v>89</v>
      </c>
      <c r="D24" s="19" t="s">
        <v>81</v>
      </c>
      <c r="E24" s="6" t="s">
        <v>91</v>
      </c>
      <c r="F24" s="6" t="s">
        <v>92</v>
      </c>
    </row>
    <row r="25" customFormat="false" ht="16.4" hidden="false" customHeight="false" outlineLevel="0" collapsed="false">
      <c r="B25" s="8" t="n">
        <v>1</v>
      </c>
      <c r="C25" s="5" t="s">
        <v>142</v>
      </c>
      <c r="D25" s="17" t="n">
        <v>145000</v>
      </c>
      <c r="E25" s="13" t="s">
        <v>143</v>
      </c>
      <c r="F25" s="18" t="s">
        <v>112</v>
      </c>
    </row>
    <row r="26" customFormat="false" ht="16.4" hidden="false" customHeight="false" outlineLevel="0" collapsed="false">
      <c r="B26" s="8" t="n">
        <v>2</v>
      </c>
      <c r="C26" s="5" t="s">
        <v>144</v>
      </c>
      <c r="D26" s="17" t="n">
        <v>30000</v>
      </c>
      <c r="E26" s="13" t="s">
        <v>145</v>
      </c>
      <c r="F26" s="18" t="s">
        <v>146</v>
      </c>
    </row>
    <row r="27" customFormat="false" ht="16.4" hidden="false" customHeight="false" outlineLevel="0" collapsed="false">
      <c r="B27" s="8" t="n">
        <v>3</v>
      </c>
      <c r="C27" s="5" t="s">
        <v>147</v>
      </c>
      <c r="D27" s="17" t="n">
        <v>25000</v>
      </c>
      <c r="E27" s="13" t="s">
        <v>148</v>
      </c>
      <c r="F27" s="18" t="s">
        <v>102</v>
      </c>
    </row>
    <row r="28" customFormat="false" ht="16.4" hidden="false" customHeight="false" outlineLevel="0" collapsed="false">
      <c r="B28" s="8" t="n">
        <v>4</v>
      </c>
      <c r="C28" s="5" t="s">
        <v>149</v>
      </c>
      <c r="D28" s="17" t="n">
        <v>15000</v>
      </c>
      <c r="E28" s="13" t="s">
        <v>150</v>
      </c>
      <c r="F28" s="18" t="s">
        <v>139</v>
      </c>
    </row>
    <row r="29" customFormat="false" ht="16.4" hidden="false" customHeight="false" outlineLevel="0" collapsed="false">
      <c r="B29" s="8" t="n">
        <v>5</v>
      </c>
      <c r="C29" s="5" t="s">
        <v>140</v>
      </c>
      <c r="D29" s="17" t="n">
        <f aca="false">0.1%*'02. Assumptions'!$C$10</f>
        <v>10000</v>
      </c>
      <c r="E29" s="13" t="s">
        <v>151</v>
      </c>
      <c r="F29" s="18" t="s">
        <v>126</v>
      </c>
    </row>
    <row r="30" customFormat="false" ht="16.4" hidden="false" customHeight="false" outlineLevel="0" collapsed="false">
      <c r="B30" s="5"/>
      <c r="C30" s="4" t="s">
        <v>129</v>
      </c>
      <c r="D30" s="21" t="n">
        <f aca="false">SUM(D25:D29)</f>
        <v>225000</v>
      </c>
      <c r="E30" s="5"/>
      <c r="F30" s="5"/>
    </row>
  </sheetData>
  <mergeCells count="4">
    <mergeCell ref="B2:F2"/>
    <mergeCell ref="B6:F6"/>
    <mergeCell ref="B14:F14"/>
    <mergeCell ref="B23:F23"/>
  </mergeCells>
  <hyperlinks>
    <hyperlink ref="F8" r:id="rId1" display="BLS OES May 2024 — Occupational Health &amp; Safety Specialists (SOC 29-9011)"/>
    <hyperlink ref="F9" r:id="rId2" display="Liberty Mutual Workplace Safety Index 2024"/>
    <hyperlink ref="F10" r:id="rId3" display="Construction Industry Institute — Cost of Rework (RT-153)"/>
    <hyperlink ref="F11" r:id="rId4" display="AGC of America — 2024 Construction Outlook Survey"/>
    <hyperlink ref="F16" r:id="rId5" display="Procore Public Pricing 2024"/>
    <hyperlink ref="F17" r:id="rId6" display="OpenSpace.ai — Capture pricing &amp; case studies"/>
    <hyperlink ref="F18" r:id="rId7" display="BLS OES May 2024 — Occupational Health &amp; Safety Specialists (SOC 29-9011)"/>
    <hyperlink ref="F19" r:id="rId8" display="Buildots AI Monitoring — Case Studies"/>
    <hyperlink ref="F20" r:id="rId9" display="Construction Industry Institute — Cost of Rework (RT-153)"/>
    <hyperlink ref="F25" r:id="rId10" display="Glassdoor / Levels.fyi — ML/Data Engineer median U.S. (2024)"/>
    <hyperlink ref="F26" r:id="rId11" display="AWS Pricing Calculator"/>
    <hyperlink ref="F27" r:id="rId12" display="Axis Communications IP Cameras — pricing"/>
    <hyperlink ref="F28" r:id="rId13" display="Buildots AI Monitoring — Case Studies"/>
    <hyperlink ref="F29" r:id="rId14" display="Construction Industry Institute — Cost of Rework (RT-153)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392B"/>
    <pageSetUpPr fitToPage="false"/>
  </sheetPr>
  <dimension ref="B1:J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B6" activeCellId="0" sqref="B6"/>
    </sheetView>
  </sheetViews>
  <sheetFormatPr defaultColWidth="8.59765625" defaultRowHeight="12.8" customHeight="false" zeroHeight="false" outlineLevelRow="0" outlineLevelCol="0"/>
  <cols>
    <col collapsed="false" customWidth="true" hidden="false" outlineLevel="0" max="1" min="1" style="0" width="2.71"/>
    <col collapsed="false" customWidth="true" hidden="false" outlineLevel="0" max="2" min="2" style="0" width="42.71"/>
    <col collapsed="false" customWidth="true" hidden="false" outlineLevel="0" max="8" min="3" style="0" width="16.72"/>
    <col collapsed="false" customWidth="true" hidden="false" outlineLevel="0" max="9" min="9" style="0" width="18.71"/>
    <col collapsed="false" customWidth="true" hidden="false" outlineLevel="0" max="10" min="10" style="0" width="12"/>
  </cols>
  <sheetData>
    <row r="1" customFormat="false" ht="13.8" hidden="false" customHeight="false" outlineLevel="0" collapsed="false"/>
    <row r="2" customFormat="false" ht="31.5" hidden="false" customHeight="false" outlineLevel="0" collapsed="false">
      <c r="B2" s="11" t="s">
        <v>152</v>
      </c>
      <c r="C2" s="11"/>
      <c r="D2" s="11"/>
      <c r="E2" s="11"/>
      <c r="F2" s="11"/>
      <c r="G2" s="11"/>
      <c r="H2" s="11"/>
      <c r="I2" s="11"/>
    </row>
    <row r="3" customFormat="false" ht="16.15" hidden="false" customHeight="false" outlineLevel="0" collapsed="false">
      <c r="B3" s="2" t="s">
        <v>153</v>
      </c>
    </row>
    <row r="4" customFormat="false" ht="13.8" hidden="false" customHeight="false" outlineLevel="0" collapsed="false"/>
    <row r="5" customFormat="false" ht="16.4" hidden="false" customHeight="false" outlineLevel="0" collapsed="false">
      <c r="B5" s="6" t="s">
        <v>154</v>
      </c>
      <c r="C5" s="7" t="s">
        <v>155</v>
      </c>
      <c r="D5" s="7" t="s">
        <v>156</v>
      </c>
      <c r="E5" s="7" t="s">
        <v>157</v>
      </c>
      <c r="F5" s="7" t="s">
        <v>158</v>
      </c>
      <c r="G5" s="7" t="s">
        <v>159</v>
      </c>
      <c r="H5" s="7" t="s">
        <v>160</v>
      </c>
    </row>
    <row r="6" customFormat="false" ht="16.4" hidden="false" customHeight="false" outlineLevel="0" collapsed="false">
      <c r="B6" s="4" t="s">
        <v>80</v>
      </c>
      <c r="C6" s="20" t="n">
        <f aca="false">-'03. Initial Investment'!$D$9</f>
        <v>-10000</v>
      </c>
      <c r="D6" s="20" t="n">
        <v>0</v>
      </c>
      <c r="E6" s="20" t="n">
        <v>0</v>
      </c>
      <c r="F6" s="20" t="n">
        <v>0</v>
      </c>
      <c r="G6" s="20" t="n">
        <v>0</v>
      </c>
      <c r="H6" s="20" t="n">
        <v>0</v>
      </c>
      <c r="I6" s="6" t="s">
        <v>161</v>
      </c>
      <c r="J6" s="19" t="s">
        <v>162</v>
      </c>
    </row>
    <row r="7" customFormat="false" ht="16.4" hidden="false" customHeight="false" outlineLevel="0" collapsed="false">
      <c r="B7" s="5" t="s">
        <v>118</v>
      </c>
      <c r="C7" s="20" t="n">
        <v>0</v>
      </c>
      <c r="D7" s="20" t="n">
        <f aca="false">-'04. Annual Cost'!$D$8</f>
        <v>-390000</v>
      </c>
      <c r="E7" s="20" t="n">
        <f aca="false">-'04. Annual Cost'!$D$8</f>
        <v>-390000</v>
      </c>
      <c r="F7" s="20" t="n">
        <f aca="false">-'04. Annual Cost'!$D$8</f>
        <v>-390000</v>
      </c>
      <c r="G7" s="20" t="n">
        <f aca="false">-'04. Annual Cost'!$D$8</f>
        <v>-390000</v>
      </c>
      <c r="H7" s="20" t="n">
        <f aca="false">-'04. Annual Cost'!$D$8</f>
        <v>-390000</v>
      </c>
      <c r="I7" s="4" t="s">
        <v>80</v>
      </c>
      <c r="J7" s="20" t="n">
        <f aca="false">-'03. Initial Investment'!$D$9</f>
        <v>-10000</v>
      </c>
    </row>
    <row r="8" customFormat="false" ht="16.4" hidden="false" customHeight="false" outlineLevel="0" collapsed="false">
      <c r="B8" s="5" t="s">
        <v>121</v>
      </c>
      <c r="C8" s="20" t="n">
        <v>0</v>
      </c>
      <c r="D8" s="20" t="n">
        <f aca="false">-'04. Annual Cost'!$D$9</f>
        <v>-75000</v>
      </c>
      <c r="E8" s="20" t="n">
        <f aca="false">-'04. Annual Cost'!$D$9</f>
        <v>-75000</v>
      </c>
      <c r="F8" s="20" t="n">
        <f aca="false">-'04. Annual Cost'!$D$9</f>
        <v>-75000</v>
      </c>
      <c r="G8" s="20" t="n">
        <f aca="false">-'04. Annual Cost'!$D$9</f>
        <v>-75000</v>
      </c>
      <c r="H8" s="20" t="n">
        <f aca="false">-'04. Annual Cost'!$D$9</f>
        <v>-75000</v>
      </c>
      <c r="I8" s="4" t="s">
        <v>81</v>
      </c>
      <c r="J8" s="20" t="n">
        <f aca="false">-'04. Annual Cost'!$D$12</f>
        <v>-555000</v>
      </c>
    </row>
    <row r="9" customFormat="false" ht="31.3" hidden="false" customHeight="false" outlineLevel="0" collapsed="false">
      <c r="B9" s="5" t="s">
        <v>124</v>
      </c>
      <c r="C9" s="20" t="n">
        <v>0</v>
      </c>
      <c r="D9" s="20" t="n">
        <f aca="false">-'04. Annual Cost'!$D$10</f>
        <v>-50000</v>
      </c>
      <c r="E9" s="20" t="n">
        <f aca="false">-'04. Annual Cost'!$D$10</f>
        <v>-50000</v>
      </c>
      <c r="F9" s="20" t="n">
        <f aca="false">-'04. Annual Cost'!$D$10</f>
        <v>-50000</v>
      </c>
      <c r="G9" s="20" t="n">
        <f aca="false">-'04. Annual Cost'!$D$10</f>
        <v>-50000</v>
      </c>
      <c r="H9" s="20" t="n">
        <f aca="false">-'04. Annual Cost'!$D$10</f>
        <v>-50000</v>
      </c>
      <c r="I9" s="4" t="s">
        <v>163</v>
      </c>
      <c r="J9" s="20" t="n">
        <v>0</v>
      </c>
    </row>
    <row r="10" customFormat="false" ht="31.3" hidden="false" customHeight="false" outlineLevel="0" collapsed="false">
      <c r="B10" s="5" t="s">
        <v>127</v>
      </c>
      <c r="C10" s="20" t="n">
        <v>0</v>
      </c>
      <c r="D10" s="20" t="n">
        <f aca="false">-'04. Annual Cost'!$D$11</f>
        <v>-40000</v>
      </c>
      <c r="E10" s="20" t="n">
        <f aca="false">-'04. Annual Cost'!$D$11</f>
        <v>-40000</v>
      </c>
      <c r="F10" s="20" t="n">
        <f aca="false">-'04. Annual Cost'!$D$11</f>
        <v>-40000</v>
      </c>
      <c r="G10" s="20" t="n">
        <f aca="false">-'04. Annual Cost'!$D$11</f>
        <v>-40000</v>
      </c>
      <c r="H10" s="20" t="n">
        <f aca="false">-'04. Annual Cost'!$D$11</f>
        <v>-40000</v>
      </c>
      <c r="I10" s="4" t="s">
        <v>164</v>
      </c>
      <c r="J10" s="22" t="n">
        <f aca="false">H15</f>
        <v>-1870446.07939633</v>
      </c>
    </row>
    <row r="11" customFormat="false" ht="16.4" hidden="false" customHeight="false" outlineLevel="0" collapsed="false">
      <c r="B11" s="4" t="s">
        <v>165</v>
      </c>
      <c r="C11" s="22" t="n">
        <f aca="false">SUM(C6:C10)</f>
        <v>-10000</v>
      </c>
      <c r="D11" s="22" t="n">
        <f aca="false">-'04. Annual Cost'!$D$12</f>
        <v>-555000</v>
      </c>
      <c r="E11" s="22" t="n">
        <f aca="false">-'04. Annual Cost'!$D$12</f>
        <v>-555000</v>
      </c>
      <c r="F11" s="22" t="n">
        <f aca="false">-'04. Annual Cost'!$D$12</f>
        <v>-555000</v>
      </c>
      <c r="G11" s="22" t="n">
        <f aca="false">-'04. Annual Cost'!$D$12</f>
        <v>-555000</v>
      </c>
      <c r="H11" s="22" t="n">
        <f aca="false">-'04. Annual Cost'!$D$12</f>
        <v>-555000</v>
      </c>
    </row>
    <row r="12" customFormat="false" ht="16.4" hidden="false" customHeight="false" outlineLevel="0" collapsed="false">
      <c r="B12" s="5" t="s">
        <v>166</v>
      </c>
      <c r="C12" s="23" t="n">
        <f aca="false">1/(1+MARR)^0</f>
        <v>1</v>
      </c>
      <c r="D12" s="23" t="n">
        <f aca="false">1/(1+MARR)^1</f>
        <v>0.869565217391304</v>
      </c>
      <c r="E12" s="23" t="n">
        <f aca="false">1/(1+MARR)^2</f>
        <v>0.756143667296787</v>
      </c>
      <c r="F12" s="23" t="n">
        <f aca="false">1/(1+MARR)^3</f>
        <v>0.657516232431988</v>
      </c>
      <c r="G12" s="23" t="n">
        <f aca="false">1/(1+MARR)^4</f>
        <v>0.571753245593033</v>
      </c>
      <c r="H12" s="23" t="n">
        <f aca="false">1/(1+MARR)^5</f>
        <v>0.49717673529829</v>
      </c>
    </row>
    <row r="13" customFormat="false" ht="16.4" hidden="false" customHeight="false" outlineLevel="0" collapsed="false">
      <c r="B13" s="4" t="s">
        <v>167</v>
      </c>
      <c r="C13" s="22" t="n">
        <f aca="false">C11*C12</f>
        <v>-10000</v>
      </c>
      <c r="D13" s="22" t="n">
        <f aca="false">D11*D12</f>
        <v>-482608.695652174</v>
      </c>
      <c r="E13" s="22" t="n">
        <f aca="false">E11*E12</f>
        <v>-419659.735349717</v>
      </c>
      <c r="F13" s="22" t="n">
        <f aca="false">F11*F12</f>
        <v>-364921.508999754</v>
      </c>
      <c r="G13" s="22" t="n">
        <f aca="false">G11*G12</f>
        <v>-317323.051304134</v>
      </c>
      <c r="H13" s="22" t="n">
        <f aca="false">H11*H12</f>
        <v>-275933.088090551</v>
      </c>
    </row>
    <row r="14" customFormat="false" ht="16.4" hidden="false" customHeight="false" outlineLevel="0" collapsed="false">
      <c r="B14" s="4" t="s">
        <v>168</v>
      </c>
      <c r="C14" s="22" t="n">
        <f aca="false">C11</f>
        <v>-10000</v>
      </c>
      <c r="D14" s="22" t="n">
        <f aca="false">C14+D11</f>
        <v>-565000</v>
      </c>
      <c r="E14" s="22" t="n">
        <f aca="false">D14+E11</f>
        <v>-1120000</v>
      </c>
      <c r="F14" s="22" t="n">
        <f aca="false">E14+F11</f>
        <v>-1675000</v>
      </c>
      <c r="G14" s="22" t="n">
        <f aca="false">F14+G11</f>
        <v>-2230000</v>
      </c>
      <c r="H14" s="22" t="n">
        <f aca="false">G14+H11</f>
        <v>-2785000</v>
      </c>
    </row>
    <row r="15" customFormat="false" ht="16.4" hidden="false" customHeight="false" outlineLevel="0" collapsed="false">
      <c r="B15" s="4" t="s">
        <v>169</v>
      </c>
      <c r="C15" s="22" t="n">
        <f aca="false">C13</f>
        <v>-10000</v>
      </c>
      <c r="D15" s="22" t="n">
        <f aca="false">C15+D13</f>
        <v>-492608.695652174</v>
      </c>
      <c r="E15" s="22" t="n">
        <f aca="false">D15+E13</f>
        <v>-912268.431001891</v>
      </c>
      <c r="F15" s="22" t="n">
        <f aca="false">E15+F13</f>
        <v>-1277189.94000164</v>
      </c>
      <c r="G15" s="22" t="n">
        <f aca="false">F15+G13</f>
        <v>-1594512.99130578</v>
      </c>
      <c r="H15" s="22" t="n">
        <f aca="false">G15+H13</f>
        <v>-1870446.07939633</v>
      </c>
    </row>
  </sheetData>
  <mergeCells count="1">
    <mergeCell ref="B2:I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E5FB8"/>
    <pageSetUpPr fitToPage="false"/>
  </sheetPr>
  <dimension ref="B1:J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B5" activeCellId="0" sqref="B5"/>
    </sheetView>
  </sheetViews>
  <sheetFormatPr defaultColWidth="8.59765625" defaultRowHeight="12.8" customHeight="false" zeroHeight="false" outlineLevelRow="0" outlineLevelCol="0"/>
  <cols>
    <col collapsed="false" customWidth="true" hidden="false" outlineLevel="0" max="1" min="1" style="0" width="2.71"/>
    <col collapsed="false" customWidth="true" hidden="false" outlineLevel="0" max="2" min="2" style="0" width="42.71"/>
    <col collapsed="false" customWidth="true" hidden="false" outlineLevel="0" max="8" min="3" style="0" width="16.72"/>
    <col collapsed="false" customWidth="true" hidden="false" outlineLevel="0" max="9" min="9" style="0" width="18.71"/>
    <col collapsed="false" customWidth="true" hidden="false" outlineLevel="0" max="10" min="10" style="0" width="17.43"/>
  </cols>
  <sheetData>
    <row r="1" customFormat="false" ht="13.8" hidden="false" customHeight="false" outlineLevel="0" collapsed="false"/>
    <row r="2" customFormat="false" ht="31.5" hidden="false" customHeight="false" outlineLevel="0" collapsed="false">
      <c r="B2" s="11" t="s">
        <v>170</v>
      </c>
      <c r="C2" s="11"/>
      <c r="D2" s="11"/>
      <c r="E2" s="11"/>
      <c r="F2" s="11"/>
      <c r="G2" s="11"/>
      <c r="H2" s="11"/>
      <c r="I2" s="11"/>
    </row>
    <row r="3" customFormat="false" ht="16.15" hidden="false" customHeight="false" outlineLevel="0" collapsed="false">
      <c r="B3" s="2" t="s">
        <v>171</v>
      </c>
    </row>
    <row r="4" customFormat="false" ht="13.8" hidden="false" customHeight="false" outlineLevel="0" collapsed="false"/>
    <row r="5" customFormat="false" ht="16.4" hidden="false" customHeight="false" outlineLevel="0" collapsed="false">
      <c r="B5" s="6" t="s">
        <v>154</v>
      </c>
      <c r="C5" s="7" t="s">
        <v>155</v>
      </c>
      <c r="D5" s="7" t="s">
        <v>156</v>
      </c>
      <c r="E5" s="7" t="s">
        <v>157</v>
      </c>
      <c r="F5" s="7" t="s">
        <v>158</v>
      </c>
      <c r="G5" s="7" t="s">
        <v>159</v>
      </c>
      <c r="H5" s="7" t="s">
        <v>160</v>
      </c>
    </row>
    <row r="6" customFormat="false" ht="16.4" hidden="false" customHeight="false" outlineLevel="0" collapsed="false">
      <c r="B6" s="4" t="s">
        <v>80</v>
      </c>
      <c r="C6" s="20" t="n">
        <f aca="false">-'03. Initial Investment'!$D$14</f>
        <v>-25000</v>
      </c>
      <c r="D6" s="20" t="n">
        <v>0</v>
      </c>
      <c r="E6" s="20" t="n">
        <v>0</v>
      </c>
      <c r="F6" s="20" t="n">
        <v>0</v>
      </c>
      <c r="G6" s="20" t="n">
        <v>0</v>
      </c>
      <c r="H6" s="20" t="n">
        <v>0</v>
      </c>
      <c r="I6" s="6" t="s">
        <v>161</v>
      </c>
      <c r="J6" s="19" t="s">
        <v>162</v>
      </c>
    </row>
    <row r="7" customFormat="false" ht="16.4" hidden="false" customHeight="false" outlineLevel="0" collapsed="false">
      <c r="B7" s="5" t="s">
        <v>130</v>
      </c>
      <c r="C7" s="20" t="n">
        <v>0</v>
      </c>
      <c r="D7" s="20" t="n">
        <f aca="false">-'04. Annual Cost'!$D$16</f>
        <v>-180000</v>
      </c>
      <c r="E7" s="20" t="n">
        <f aca="false">-'04. Annual Cost'!$D$16</f>
        <v>-180000</v>
      </c>
      <c r="F7" s="20" t="n">
        <f aca="false">-'04. Annual Cost'!$D$16</f>
        <v>-180000</v>
      </c>
      <c r="G7" s="20" t="n">
        <f aca="false">-'04. Annual Cost'!$D$16</f>
        <v>-180000</v>
      </c>
      <c r="H7" s="20" t="n">
        <f aca="false">-'04. Annual Cost'!$D$16</f>
        <v>-180000</v>
      </c>
      <c r="I7" s="4" t="s">
        <v>80</v>
      </c>
      <c r="J7" s="20" t="n">
        <f aca="false">-'03. Initial Investment'!$D$14</f>
        <v>-25000</v>
      </c>
    </row>
    <row r="8" customFormat="false" ht="16.4" hidden="false" customHeight="false" outlineLevel="0" collapsed="false">
      <c r="B8" s="5" t="s">
        <v>132</v>
      </c>
      <c r="C8" s="20" t="n">
        <v>0</v>
      </c>
      <c r="D8" s="20" t="n">
        <f aca="false">-'04. Annual Cost'!$D$17</f>
        <v>-36000</v>
      </c>
      <c r="E8" s="20" t="n">
        <f aca="false">-'04. Annual Cost'!$D$17</f>
        <v>-36000</v>
      </c>
      <c r="F8" s="20" t="n">
        <f aca="false">-'04. Annual Cost'!$D$17</f>
        <v>-36000</v>
      </c>
      <c r="G8" s="20" t="n">
        <f aca="false">-'04. Annual Cost'!$D$17</f>
        <v>-36000</v>
      </c>
      <c r="H8" s="20" t="n">
        <f aca="false">-'04. Annual Cost'!$D$17</f>
        <v>-36000</v>
      </c>
      <c r="I8" s="4" t="s">
        <v>81</v>
      </c>
      <c r="J8" s="20" t="n">
        <f aca="false">-'04. Annual Cost'!$D$21</f>
        <v>-376000</v>
      </c>
    </row>
    <row r="9" customFormat="false" ht="16.4" hidden="false" customHeight="false" outlineLevel="0" collapsed="false">
      <c r="B9" s="5" t="s">
        <v>135</v>
      </c>
      <c r="C9" s="20" t="n">
        <v>0</v>
      </c>
      <c r="D9" s="20" t="n">
        <f aca="false">-'04. Annual Cost'!$D$18</f>
        <v>-130000</v>
      </c>
      <c r="E9" s="20" t="n">
        <f aca="false">-'04. Annual Cost'!$D$18</f>
        <v>-130000</v>
      </c>
      <c r="F9" s="20" t="n">
        <f aca="false">-'04. Annual Cost'!$D$18</f>
        <v>-130000</v>
      </c>
      <c r="G9" s="20" t="n">
        <f aca="false">-'04. Annual Cost'!$D$18</f>
        <v>-130000</v>
      </c>
      <c r="H9" s="20" t="n">
        <f aca="false">-'04. Annual Cost'!$D$18</f>
        <v>-130000</v>
      </c>
      <c r="I9" s="4" t="s">
        <v>163</v>
      </c>
      <c r="J9" s="20" t="n">
        <v>0</v>
      </c>
    </row>
    <row r="10" customFormat="false" ht="31.3" hidden="false" customHeight="false" outlineLevel="0" collapsed="false">
      <c r="B10" s="5" t="s">
        <v>137</v>
      </c>
      <c r="C10" s="20" t="n">
        <v>0</v>
      </c>
      <c r="D10" s="20" t="n">
        <f aca="false">-'04. Annual Cost'!$D$19</f>
        <v>-20000</v>
      </c>
      <c r="E10" s="20" t="n">
        <f aca="false">-'04. Annual Cost'!$D$19</f>
        <v>-20000</v>
      </c>
      <c r="F10" s="20" t="n">
        <f aca="false">-'04. Annual Cost'!$D$19</f>
        <v>-20000</v>
      </c>
      <c r="G10" s="20" t="n">
        <f aca="false">-'04. Annual Cost'!$D$19</f>
        <v>-20000</v>
      </c>
      <c r="H10" s="20" t="n">
        <f aca="false">-'04. Annual Cost'!$D$19</f>
        <v>-20000</v>
      </c>
      <c r="I10" s="4" t="s">
        <v>164</v>
      </c>
      <c r="J10" s="22" t="n">
        <f aca="false">H16</f>
        <v>-1285410.31685229</v>
      </c>
    </row>
    <row r="11" customFormat="false" ht="16.4" hidden="false" customHeight="false" outlineLevel="0" collapsed="false">
      <c r="B11" s="5" t="s">
        <v>140</v>
      </c>
      <c r="C11" s="20" t="n">
        <v>0</v>
      </c>
      <c r="D11" s="20" t="n">
        <f aca="false">-'04. Annual Cost'!$D$20</f>
        <v>-10000</v>
      </c>
      <c r="E11" s="20" t="n">
        <f aca="false">-'04. Annual Cost'!$D$20</f>
        <v>-10000</v>
      </c>
      <c r="F11" s="20" t="n">
        <f aca="false">-'04. Annual Cost'!$D$20</f>
        <v>-10000</v>
      </c>
      <c r="G11" s="20" t="n">
        <f aca="false">-'04. Annual Cost'!$D$20</f>
        <v>-10000</v>
      </c>
      <c r="H11" s="20" t="n">
        <f aca="false">-'04. Annual Cost'!$D$20</f>
        <v>-10000</v>
      </c>
    </row>
    <row r="12" customFormat="false" ht="16.4" hidden="false" customHeight="false" outlineLevel="0" collapsed="false">
      <c r="B12" s="4" t="s">
        <v>165</v>
      </c>
      <c r="C12" s="22" t="n">
        <f aca="false">SUM(C6:C11)</f>
        <v>-25000</v>
      </c>
      <c r="D12" s="22" t="n">
        <f aca="false">-'04. Annual Cost'!$D$21</f>
        <v>-376000</v>
      </c>
      <c r="E12" s="22" t="n">
        <f aca="false">-'04. Annual Cost'!$D$21</f>
        <v>-376000</v>
      </c>
      <c r="F12" s="22" t="n">
        <f aca="false">-'04. Annual Cost'!$D$21</f>
        <v>-376000</v>
      </c>
      <c r="G12" s="22" t="n">
        <f aca="false">-'04. Annual Cost'!$D$21</f>
        <v>-376000</v>
      </c>
      <c r="H12" s="22" t="n">
        <f aca="false">-'04. Annual Cost'!$D$21</f>
        <v>-376000</v>
      </c>
    </row>
    <row r="13" customFormat="false" ht="16.4" hidden="false" customHeight="false" outlineLevel="0" collapsed="false">
      <c r="B13" s="5" t="s">
        <v>166</v>
      </c>
      <c r="C13" s="23" t="n">
        <f aca="false">1/(1+MARR)^0</f>
        <v>1</v>
      </c>
      <c r="D13" s="23" t="n">
        <f aca="false">1/(1+MARR)^1</f>
        <v>0.869565217391304</v>
      </c>
      <c r="E13" s="23" t="n">
        <f aca="false">1/(1+MARR)^2</f>
        <v>0.756143667296787</v>
      </c>
      <c r="F13" s="23" t="n">
        <f aca="false">1/(1+MARR)^3</f>
        <v>0.657516232431988</v>
      </c>
      <c r="G13" s="23" t="n">
        <f aca="false">1/(1+MARR)^4</f>
        <v>0.571753245593033</v>
      </c>
      <c r="H13" s="23" t="n">
        <f aca="false">1/(1+MARR)^5</f>
        <v>0.49717673529829</v>
      </c>
    </row>
    <row r="14" customFormat="false" ht="16.4" hidden="false" customHeight="false" outlineLevel="0" collapsed="false">
      <c r="B14" s="4" t="s">
        <v>167</v>
      </c>
      <c r="C14" s="22" t="n">
        <f aca="false">C12*C13</f>
        <v>-25000</v>
      </c>
      <c r="D14" s="22" t="n">
        <f aca="false">D12*D13</f>
        <v>-326956.521739131</v>
      </c>
      <c r="E14" s="22" t="n">
        <f aca="false">E12*E13</f>
        <v>-284310.018903592</v>
      </c>
      <c r="F14" s="22" t="n">
        <f aca="false">F12*F13</f>
        <v>-247226.103394428</v>
      </c>
      <c r="G14" s="22" t="n">
        <f aca="false">G12*G13</f>
        <v>-214979.220342981</v>
      </c>
      <c r="H14" s="22" t="n">
        <f aca="false">H12*H13</f>
        <v>-186938.452472157</v>
      </c>
    </row>
    <row r="15" customFormat="false" ht="16.4" hidden="false" customHeight="false" outlineLevel="0" collapsed="false">
      <c r="B15" s="4" t="s">
        <v>168</v>
      </c>
      <c r="C15" s="22" t="n">
        <f aca="false">C12</f>
        <v>-25000</v>
      </c>
      <c r="D15" s="22" t="n">
        <f aca="false">C15+D12</f>
        <v>-401000</v>
      </c>
      <c r="E15" s="22" t="n">
        <f aca="false">D15+E12</f>
        <v>-777000</v>
      </c>
      <c r="F15" s="22" t="n">
        <f aca="false">E15+F12</f>
        <v>-1153000</v>
      </c>
      <c r="G15" s="22" t="n">
        <f aca="false">F15+G12</f>
        <v>-1529000</v>
      </c>
      <c r="H15" s="22" t="n">
        <f aca="false">G15+H12</f>
        <v>-1905000</v>
      </c>
    </row>
    <row r="16" customFormat="false" ht="16.4" hidden="false" customHeight="false" outlineLevel="0" collapsed="false">
      <c r="B16" s="4" t="s">
        <v>169</v>
      </c>
      <c r="C16" s="22" t="n">
        <f aca="false">C14</f>
        <v>-25000</v>
      </c>
      <c r="D16" s="22" t="n">
        <f aca="false">C16+D14</f>
        <v>-351956.521739131</v>
      </c>
      <c r="E16" s="22" t="n">
        <f aca="false">D16+E14</f>
        <v>-636266.540642722</v>
      </c>
      <c r="F16" s="22" t="n">
        <f aca="false">E16+F14</f>
        <v>-883492.64403715</v>
      </c>
      <c r="G16" s="22" t="n">
        <f aca="false">F16+G14</f>
        <v>-1098471.86438013</v>
      </c>
      <c r="H16" s="22" t="n">
        <f aca="false">G16+H14</f>
        <v>-1285410.31685229</v>
      </c>
    </row>
  </sheetData>
  <mergeCells count="1">
    <mergeCell ref="B2:I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9C37D"/>
    <pageSetUpPr fitToPage="false"/>
  </sheetPr>
  <dimension ref="B1:J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D13" activeCellId="0" sqref="D13"/>
    </sheetView>
  </sheetViews>
  <sheetFormatPr defaultColWidth="8.59765625" defaultRowHeight="12.8" customHeight="false" zeroHeight="false" outlineLevelRow="0" outlineLevelCol="0"/>
  <cols>
    <col collapsed="false" customWidth="true" hidden="false" outlineLevel="0" max="1" min="1" style="0" width="2.71"/>
    <col collapsed="false" customWidth="true" hidden="false" outlineLevel="0" max="2" min="2" style="0" width="42.71"/>
    <col collapsed="false" customWidth="true" hidden="false" outlineLevel="0" max="8" min="3" style="0" width="16.72"/>
    <col collapsed="false" customWidth="true" hidden="false" outlineLevel="0" max="9" min="9" style="0" width="18.71"/>
    <col collapsed="false" customWidth="true" hidden="false" outlineLevel="0" max="10" min="10" style="0" width="18.7"/>
  </cols>
  <sheetData>
    <row r="1" customFormat="false" ht="13.8" hidden="false" customHeight="false" outlineLevel="0" collapsed="false"/>
    <row r="2" customFormat="false" ht="31.5" hidden="false" customHeight="false" outlineLevel="0" collapsed="false">
      <c r="B2" s="11" t="s">
        <v>172</v>
      </c>
      <c r="C2" s="11"/>
      <c r="D2" s="11"/>
      <c r="E2" s="11"/>
      <c r="F2" s="11"/>
      <c r="G2" s="11"/>
      <c r="H2" s="11"/>
      <c r="I2" s="11"/>
    </row>
    <row r="3" customFormat="false" ht="16.15" hidden="false" customHeight="false" outlineLevel="0" collapsed="false">
      <c r="B3" s="2" t="s">
        <v>173</v>
      </c>
    </row>
    <row r="4" customFormat="false" ht="13.8" hidden="false" customHeight="false" outlineLevel="0" collapsed="false"/>
    <row r="5" customFormat="false" ht="16.4" hidden="false" customHeight="false" outlineLevel="0" collapsed="false">
      <c r="B5" s="6" t="s">
        <v>154</v>
      </c>
      <c r="C5" s="7" t="s">
        <v>155</v>
      </c>
      <c r="D5" s="7" t="s">
        <v>156</v>
      </c>
      <c r="E5" s="7" t="s">
        <v>157</v>
      </c>
      <c r="F5" s="7" t="s">
        <v>158</v>
      </c>
      <c r="G5" s="7" t="s">
        <v>159</v>
      </c>
      <c r="H5" s="7" t="s">
        <v>160</v>
      </c>
    </row>
    <row r="6" customFormat="false" ht="16.4" hidden="false" customHeight="false" outlineLevel="0" collapsed="false">
      <c r="B6" s="4" t="s">
        <v>80</v>
      </c>
      <c r="C6" s="20" t="n">
        <f aca="false">-'03. Initial Investment'!$D$24</f>
        <v>-380000</v>
      </c>
      <c r="D6" s="20" t="n">
        <v>0</v>
      </c>
      <c r="E6" s="20" t="n">
        <v>0</v>
      </c>
      <c r="F6" s="20" t="n">
        <v>0</v>
      </c>
      <c r="G6" s="20" t="n">
        <v>0</v>
      </c>
      <c r="H6" s="20" t="n">
        <v>0</v>
      </c>
      <c r="I6" s="6" t="s">
        <v>161</v>
      </c>
      <c r="J6" s="19" t="s">
        <v>162</v>
      </c>
    </row>
    <row r="7" customFormat="false" ht="16.4" hidden="false" customHeight="false" outlineLevel="0" collapsed="false">
      <c r="B7" s="5" t="s">
        <v>142</v>
      </c>
      <c r="C7" s="20" t="n">
        <v>0</v>
      </c>
      <c r="D7" s="20" t="n">
        <f aca="false">-'04. Annual Cost'!$D$25</f>
        <v>-145000</v>
      </c>
      <c r="E7" s="20" t="n">
        <f aca="false">-'04. Annual Cost'!$D$25</f>
        <v>-145000</v>
      </c>
      <c r="F7" s="20" t="n">
        <f aca="false">-'04. Annual Cost'!$D$25</f>
        <v>-145000</v>
      </c>
      <c r="G7" s="20" t="n">
        <f aca="false">-'04. Annual Cost'!$D$25</f>
        <v>-145000</v>
      </c>
      <c r="H7" s="20" t="n">
        <f aca="false">-'04. Annual Cost'!$D$25</f>
        <v>-145000</v>
      </c>
      <c r="I7" s="4" t="s">
        <v>80</v>
      </c>
      <c r="J7" s="20" t="n">
        <f aca="false">-'03. Initial Investment'!$D$24</f>
        <v>-380000</v>
      </c>
    </row>
    <row r="8" customFormat="false" ht="16.4" hidden="false" customHeight="false" outlineLevel="0" collapsed="false">
      <c r="B8" s="5" t="s">
        <v>144</v>
      </c>
      <c r="C8" s="20" t="n">
        <v>0</v>
      </c>
      <c r="D8" s="20" t="n">
        <f aca="false">-'04. Annual Cost'!$D$26</f>
        <v>-30000</v>
      </c>
      <c r="E8" s="20" t="n">
        <f aca="false">-'04. Annual Cost'!$D$26</f>
        <v>-30000</v>
      </c>
      <c r="F8" s="20" t="n">
        <f aca="false">-'04. Annual Cost'!$D$26</f>
        <v>-30000</v>
      </c>
      <c r="G8" s="20" t="n">
        <f aca="false">-'04. Annual Cost'!$D$26</f>
        <v>-30000</v>
      </c>
      <c r="H8" s="20" t="n">
        <f aca="false">-'04. Annual Cost'!$D$26</f>
        <v>-30000</v>
      </c>
      <c r="I8" s="4" t="s">
        <v>81</v>
      </c>
      <c r="J8" s="20" t="n">
        <f aca="false">-'04. Annual Cost'!D30</f>
        <v>-225000</v>
      </c>
    </row>
    <row r="9" customFormat="false" ht="16.4" hidden="false" customHeight="false" outlineLevel="0" collapsed="false">
      <c r="B9" s="5" t="s">
        <v>147</v>
      </c>
      <c r="C9" s="20" t="n">
        <v>0</v>
      </c>
      <c r="D9" s="20" t="n">
        <f aca="false">-'04. Annual Cost'!$D$27</f>
        <v>-25000</v>
      </c>
      <c r="E9" s="20" t="n">
        <f aca="false">-'04. Annual Cost'!$D$27</f>
        <v>-25000</v>
      </c>
      <c r="F9" s="20" t="n">
        <f aca="false">-'04. Annual Cost'!$D$27</f>
        <v>-25000</v>
      </c>
      <c r="G9" s="20" t="n">
        <f aca="false">-'04. Annual Cost'!$D$27</f>
        <v>-25000</v>
      </c>
      <c r="H9" s="20" t="n">
        <f aca="false">-'04. Annual Cost'!$D$27</f>
        <v>-25000</v>
      </c>
      <c r="I9" s="4" t="s">
        <v>163</v>
      </c>
      <c r="J9" s="20" t="n">
        <v>80000</v>
      </c>
    </row>
    <row r="10" customFormat="false" ht="31.3" hidden="false" customHeight="false" outlineLevel="0" collapsed="false">
      <c r="B10" s="5" t="s">
        <v>149</v>
      </c>
      <c r="C10" s="20" t="n">
        <v>0</v>
      </c>
      <c r="D10" s="20" t="n">
        <f aca="false">-'04. Annual Cost'!$D$28</f>
        <v>-15000</v>
      </c>
      <c r="E10" s="20" t="n">
        <f aca="false">-'04. Annual Cost'!$D$28</f>
        <v>-15000</v>
      </c>
      <c r="F10" s="20" t="n">
        <f aca="false">-'04. Annual Cost'!$D$28</f>
        <v>-15000</v>
      </c>
      <c r="G10" s="20" t="n">
        <f aca="false">-'04. Annual Cost'!$D$28</f>
        <v>-15000</v>
      </c>
      <c r="H10" s="20" t="n">
        <f aca="false">-'04. Annual Cost'!$D$28</f>
        <v>-15000</v>
      </c>
      <c r="I10" s="4" t="s">
        <v>164</v>
      </c>
      <c r="J10" s="24" t="n">
        <f aca="false">H17</f>
        <v>-1094460.7582287</v>
      </c>
    </row>
    <row r="11" customFormat="false" ht="16.4" hidden="false" customHeight="false" outlineLevel="0" collapsed="false">
      <c r="B11" s="5" t="s">
        <v>140</v>
      </c>
      <c r="C11" s="20" t="n">
        <v>0</v>
      </c>
      <c r="D11" s="20" t="n">
        <f aca="false">-'04. Annual Cost'!$D$29</f>
        <v>-10000</v>
      </c>
      <c r="E11" s="20" t="n">
        <f aca="false">-'04. Annual Cost'!$D$29</f>
        <v>-10000</v>
      </c>
      <c r="F11" s="20" t="n">
        <f aca="false">-'04. Annual Cost'!$D$29</f>
        <v>-10000</v>
      </c>
      <c r="G11" s="20" t="n">
        <f aca="false">-'04. Annual Cost'!$D$29</f>
        <v>-10000</v>
      </c>
      <c r="H11" s="20" t="n">
        <f aca="false">-'04. Annual Cost'!$D$29</f>
        <v>-10000</v>
      </c>
    </row>
    <row r="12" customFormat="false" ht="16.4" hidden="false" customHeight="false" outlineLevel="0" collapsed="false">
      <c r="B12" s="4" t="s">
        <v>174</v>
      </c>
      <c r="C12" s="20" t="n">
        <v>0</v>
      </c>
      <c r="D12" s="20" t="n">
        <v>0</v>
      </c>
      <c r="E12" s="20" t="n">
        <v>0</v>
      </c>
      <c r="F12" s="20" t="n">
        <v>0</v>
      </c>
      <c r="G12" s="20" t="n">
        <v>0</v>
      </c>
      <c r="H12" s="20" t="n">
        <v>80000</v>
      </c>
    </row>
    <row r="13" customFormat="false" ht="16.4" hidden="false" customHeight="false" outlineLevel="0" collapsed="false">
      <c r="B13" s="4" t="s">
        <v>165</v>
      </c>
      <c r="C13" s="22" t="n">
        <f aca="false">SUM(C6:C12)</f>
        <v>-380000</v>
      </c>
      <c r="D13" s="22" t="n">
        <f aca="false">SUM(D6:D12)</f>
        <v>-225000</v>
      </c>
      <c r="E13" s="22" t="n">
        <f aca="false">SUM(E6:E12)</f>
        <v>-225000</v>
      </c>
      <c r="F13" s="22" t="n">
        <f aca="false">SUM(F6:F12)</f>
        <v>-225000</v>
      </c>
      <c r="G13" s="22" t="n">
        <f aca="false">SUM(G6:G12)</f>
        <v>-225000</v>
      </c>
      <c r="H13" s="22" t="n">
        <f aca="false">SUM(H6:H12)</f>
        <v>-145000</v>
      </c>
    </row>
    <row r="14" customFormat="false" ht="16.4" hidden="false" customHeight="false" outlineLevel="0" collapsed="false">
      <c r="B14" s="5" t="s">
        <v>166</v>
      </c>
      <c r="C14" s="23" t="n">
        <f aca="false">1/(1+MARR)^0</f>
        <v>1</v>
      </c>
      <c r="D14" s="23" t="n">
        <f aca="false">1/(1+MARR)^1</f>
        <v>0.869565217391304</v>
      </c>
      <c r="E14" s="23" t="n">
        <f aca="false">1/(1+MARR)^2</f>
        <v>0.756143667296787</v>
      </c>
      <c r="F14" s="23" t="n">
        <f aca="false">1/(1+MARR)^3</f>
        <v>0.657516232431988</v>
      </c>
      <c r="G14" s="23" t="n">
        <f aca="false">1/(1+MARR)^4</f>
        <v>0.571753245593033</v>
      </c>
      <c r="H14" s="23" t="n">
        <f aca="false">1/(1+MARR)^5</f>
        <v>0.49717673529829</v>
      </c>
    </row>
    <row r="15" customFormat="false" ht="16.4" hidden="false" customHeight="false" outlineLevel="0" collapsed="false">
      <c r="B15" s="4" t="s">
        <v>167</v>
      </c>
      <c r="C15" s="22" t="n">
        <f aca="false">C13*C14</f>
        <v>-380000</v>
      </c>
      <c r="D15" s="22" t="n">
        <f aca="false">D13*D14</f>
        <v>-195652.173913044</v>
      </c>
      <c r="E15" s="22" t="n">
        <f aca="false">E13*E14</f>
        <v>-170132.325141777</v>
      </c>
      <c r="F15" s="22" t="n">
        <f aca="false">F13*F14</f>
        <v>-147941.152297197</v>
      </c>
      <c r="G15" s="22" t="n">
        <f aca="false">G13*G14</f>
        <v>-128644.480258433</v>
      </c>
      <c r="H15" s="22" t="n">
        <f aca="false">H13*H14</f>
        <v>-72090.626618252</v>
      </c>
    </row>
    <row r="16" customFormat="false" ht="16.4" hidden="false" customHeight="false" outlineLevel="0" collapsed="false">
      <c r="B16" s="4" t="s">
        <v>168</v>
      </c>
      <c r="C16" s="22" t="n">
        <f aca="false">C13</f>
        <v>-380000</v>
      </c>
      <c r="D16" s="22" t="n">
        <f aca="false">C16+D13</f>
        <v>-605000</v>
      </c>
      <c r="E16" s="22" t="n">
        <f aca="false">D16+E13</f>
        <v>-830000</v>
      </c>
      <c r="F16" s="22" t="n">
        <f aca="false">E16+F13</f>
        <v>-1055000</v>
      </c>
      <c r="G16" s="22" t="n">
        <f aca="false">F16+G13</f>
        <v>-1280000</v>
      </c>
      <c r="H16" s="22" t="n">
        <f aca="false">G16+H13</f>
        <v>-1425000</v>
      </c>
    </row>
    <row r="17" customFormat="false" ht="16.4" hidden="false" customHeight="false" outlineLevel="0" collapsed="false">
      <c r="B17" s="4" t="s">
        <v>169</v>
      </c>
      <c r="C17" s="22" t="n">
        <f aca="false">C15</f>
        <v>-380000</v>
      </c>
      <c r="D17" s="22" t="n">
        <f aca="false">C17+D15</f>
        <v>-575652.173913044</v>
      </c>
      <c r="E17" s="22" t="n">
        <f aca="false">D17+E15</f>
        <v>-745784.49905482</v>
      </c>
      <c r="F17" s="22" t="n">
        <f aca="false">E17+F15</f>
        <v>-893725.651352018</v>
      </c>
      <c r="G17" s="22" t="n">
        <f aca="false">F17+G15</f>
        <v>-1022370.13161045</v>
      </c>
      <c r="H17" s="22" t="n">
        <f aca="false">G17+H15</f>
        <v>-1094460.7582287</v>
      </c>
    </row>
  </sheetData>
  <mergeCells count="1">
    <mergeCell ref="B2:I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2540"/>
    <pageSetUpPr fitToPage="false"/>
  </sheetPr>
  <dimension ref="B1:F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20" activeCellId="0" sqref="E20"/>
    </sheetView>
  </sheetViews>
  <sheetFormatPr defaultColWidth="8.59765625" defaultRowHeight="12.8" customHeight="false" zeroHeight="false" outlineLevelRow="0" outlineLevelCol="0"/>
  <cols>
    <col collapsed="false" customWidth="true" hidden="false" outlineLevel="0" max="1" min="1" style="0" width="2.71"/>
    <col collapsed="false" customWidth="true" hidden="false" outlineLevel="0" max="2" min="2" style="0" width="36.72"/>
    <col collapsed="false" customWidth="true" hidden="false" outlineLevel="0" max="5" min="3" style="0" width="22.71"/>
    <col collapsed="false" customWidth="true" hidden="false" outlineLevel="0" max="6" min="6" style="0" width="50.71"/>
  </cols>
  <sheetData>
    <row r="1" customFormat="false" ht="13.8" hidden="false" customHeight="false" outlineLevel="0" collapsed="false"/>
    <row r="2" customFormat="false" ht="31.5" hidden="false" customHeight="false" outlineLevel="0" collapsed="false">
      <c r="B2" s="11" t="s">
        <v>175</v>
      </c>
      <c r="C2" s="11"/>
      <c r="D2" s="11"/>
      <c r="E2" s="11"/>
      <c r="F2" s="11"/>
    </row>
    <row r="3" customFormat="false" ht="16.15" hidden="false" customHeight="false" outlineLevel="0" collapsed="false">
      <c r="B3" s="2" t="s">
        <v>176</v>
      </c>
    </row>
    <row r="4" customFormat="false" ht="13.8" hidden="false" customHeight="false" outlineLevel="0" collapsed="false"/>
    <row r="5" customFormat="false" ht="16.4" hidden="false" customHeight="false" outlineLevel="0" collapsed="false">
      <c r="B5" s="6" t="s">
        <v>177</v>
      </c>
      <c r="C5" s="19" t="s">
        <v>178</v>
      </c>
      <c r="D5" s="19" t="s">
        <v>179</v>
      </c>
      <c r="E5" s="19" t="s">
        <v>180</v>
      </c>
    </row>
    <row r="6" customFormat="false" ht="16.4" hidden="false" customHeight="false" outlineLevel="0" collapsed="false">
      <c r="B6" s="4" t="s">
        <v>181</v>
      </c>
      <c r="C6" s="22" t="n">
        <f aca="false">'05. CF — Alt 1 Manual'!H15</f>
        <v>-1870446.07939633</v>
      </c>
      <c r="D6" s="22" t="n">
        <f aca="false">'06. CF — Alt 2 SaaS'!H16</f>
        <v>-1285410.31685229</v>
      </c>
      <c r="E6" s="24" t="n">
        <f aca="false">'07. CF — Alt 3 In-House'!H17</f>
        <v>-1094460.7582287</v>
      </c>
    </row>
    <row r="7" customFormat="false" ht="16.4" hidden="false" customHeight="false" outlineLevel="0" collapsed="false">
      <c r="B7" s="4" t="s">
        <v>182</v>
      </c>
      <c r="C7" s="22" t="n">
        <f aca="false">-PMT(MARR,STUDY_PERIOD,C6)</f>
        <v>-557983.155524615</v>
      </c>
      <c r="D7" s="22" t="n">
        <f aca="false">-PMT(MARR,STUDY_PERIOD,D6)</f>
        <v>-383457.888811538</v>
      </c>
      <c r="E7" s="24" t="n">
        <f aca="false">-PMT(MARR,STUDY_PERIOD,E6)</f>
        <v>-326494.665738459</v>
      </c>
    </row>
    <row r="8" customFormat="false" ht="16.4" hidden="false" customHeight="false" outlineLevel="0" collapsed="false">
      <c r="B8" s="4" t="s">
        <v>183</v>
      </c>
      <c r="C8" s="22" t="n">
        <f aca="false">-FV(MARR,STUDY_PERIOD,,C6)</f>
        <v>-3762135.165625</v>
      </c>
      <c r="D8" s="22" t="n">
        <f aca="false">-FV(MARR,STUDY_PERIOD,,D6)</f>
        <v>-2585419.2796875</v>
      </c>
      <c r="E8" s="24" t="n">
        <f aca="false">-FV(MARR,STUDY_PERIOD,,E6)</f>
        <v>-2201351.5125</v>
      </c>
    </row>
    <row r="9" customFormat="false" ht="13.8" hidden="false" customHeight="false" outlineLevel="0" collapsed="false"/>
    <row r="10" customFormat="false" ht="13.8" hidden="false" customHeight="false" outlineLevel="0" collapsed="false">
      <c r="B10" s="16" t="s">
        <v>184</v>
      </c>
      <c r="C10" s="16"/>
      <c r="D10" s="16"/>
      <c r="E10" s="16"/>
    </row>
    <row r="11" customFormat="false" ht="16.4" hidden="false" customHeight="false" outlineLevel="0" collapsed="false">
      <c r="B11" s="5" t="s">
        <v>185</v>
      </c>
      <c r="C11" s="23" t="n">
        <v>3.3521550980114</v>
      </c>
      <c r="D11" s="5" t="s">
        <v>186</v>
      </c>
      <c r="E11" s="23" t="n">
        <v>0.49717673529829</v>
      </c>
    </row>
    <row r="12" customFormat="false" ht="16.4" hidden="false" customHeight="false" outlineLevel="0" collapsed="false">
      <c r="B12" s="5" t="s">
        <v>187</v>
      </c>
      <c r="C12" s="23" t="n">
        <v>0.298315552461528</v>
      </c>
      <c r="D12" s="5" t="s">
        <v>188</v>
      </c>
      <c r="E12" s="23" t="n">
        <v>2.0113571875</v>
      </c>
    </row>
    <row r="13" customFormat="false" ht="13.8" hidden="false" customHeight="false" outlineLevel="0" collapsed="false"/>
    <row r="14" customFormat="false" ht="13.8" hidden="false" customHeight="false" outlineLevel="0" collapsed="false"/>
    <row r="15" customFormat="false" ht="13.8" hidden="false" customHeight="false" outlineLevel="0" collapsed="false"/>
  </sheetData>
  <mergeCells count="2">
    <mergeCell ref="B2:F2"/>
    <mergeCell ref="B10:E10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2540"/>
    <pageSetUpPr fitToPage="false"/>
  </sheetPr>
  <dimension ref="B1:J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D13" activeCellId="0" sqref="D13"/>
    </sheetView>
  </sheetViews>
  <sheetFormatPr defaultColWidth="8.59765625" defaultRowHeight="12.8" customHeight="false" zeroHeight="false" outlineLevelRow="0" outlineLevelCol="0"/>
  <cols>
    <col collapsed="false" customWidth="true" hidden="false" outlineLevel="0" max="1" min="1" style="0" width="2.71"/>
    <col collapsed="false" customWidth="true" hidden="false" outlineLevel="0" max="2" min="2" style="0" width="38.71"/>
    <col collapsed="false" customWidth="true" hidden="false" outlineLevel="0" max="8" min="3" style="0" width="16.72"/>
    <col collapsed="false" customWidth="true" hidden="false" outlineLevel="0" max="10" min="10" style="0" width="14.71"/>
  </cols>
  <sheetData>
    <row r="1" customFormat="false" ht="13.8" hidden="false" customHeight="false" outlineLevel="0" collapsed="false"/>
    <row r="2" customFormat="false" ht="31.5" hidden="false" customHeight="false" outlineLevel="0" collapsed="false">
      <c r="B2" s="11" t="s">
        <v>189</v>
      </c>
      <c r="C2" s="11"/>
      <c r="D2" s="11"/>
      <c r="E2" s="11"/>
      <c r="F2" s="11"/>
      <c r="G2" s="11"/>
      <c r="H2" s="11"/>
    </row>
    <row r="3" customFormat="false" ht="16.15" hidden="false" customHeight="false" outlineLevel="0" collapsed="false">
      <c r="B3" s="2" t="s">
        <v>190</v>
      </c>
    </row>
    <row r="4" customFormat="false" ht="13.8" hidden="false" customHeight="false" outlineLevel="0" collapsed="false"/>
    <row r="5" customFormat="false" ht="16.4" hidden="false" customHeight="false" outlineLevel="0" collapsed="false">
      <c r="B5" s="6" t="s">
        <v>154</v>
      </c>
      <c r="C5" s="7" t="s">
        <v>155</v>
      </c>
      <c r="D5" s="7" t="s">
        <v>156</v>
      </c>
      <c r="E5" s="7" t="s">
        <v>157</v>
      </c>
      <c r="F5" s="7" t="s">
        <v>158</v>
      </c>
      <c r="G5" s="7" t="s">
        <v>159</v>
      </c>
      <c r="H5" s="7" t="s">
        <v>160</v>
      </c>
      <c r="J5" s="19" t="s">
        <v>191</v>
      </c>
    </row>
    <row r="6" customFormat="false" ht="16.4" hidden="false" customHeight="false" outlineLevel="0" collapsed="false">
      <c r="B6" s="4" t="s">
        <v>192</v>
      </c>
      <c r="C6" s="20" t="n">
        <f aca="false">'06. CF — Alt 2 SaaS'!C12-'05. CF — Alt 1 Manual'!C11</f>
        <v>-15000</v>
      </c>
      <c r="D6" s="20" t="n">
        <f aca="false">'06. CF — Alt 2 SaaS'!D12-'05. CF — Alt 1 Manual'!D11</f>
        <v>179000</v>
      </c>
      <c r="E6" s="20" t="n">
        <f aca="false">'06. CF — Alt 2 SaaS'!E12-'05. CF — Alt 1 Manual'!E11</f>
        <v>179000</v>
      </c>
      <c r="F6" s="20" t="n">
        <f aca="false">'06. CF — Alt 2 SaaS'!F12-'05. CF — Alt 1 Manual'!F11</f>
        <v>179000</v>
      </c>
      <c r="G6" s="20" t="n">
        <f aca="false">'06. CF — Alt 2 SaaS'!G12-'05. CF — Alt 1 Manual'!G11</f>
        <v>179000</v>
      </c>
      <c r="H6" s="20" t="n">
        <f aca="false">'06. CF — Alt 2 SaaS'!H12-'05. CF — Alt 1 Manual'!H11</f>
        <v>179000</v>
      </c>
      <c r="J6" s="25" t="n">
        <f aca="false">IRR(C6:H6)</f>
        <v>11.933300356044</v>
      </c>
    </row>
    <row r="7" customFormat="false" ht="16.4" hidden="false" customHeight="false" outlineLevel="0" collapsed="false">
      <c r="B7" s="4" t="s">
        <v>193</v>
      </c>
      <c r="C7" s="20" t="n">
        <f aca="false">'07. CF — Alt 3 In-House'!C13-'05. CF — Alt 1 Manual'!C11</f>
        <v>-370000</v>
      </c>
      <c r="D7" s="20" t="n">
        <f aca="false">'07. CF — Alt 3 In-House'!D13-'05. CF — Alt 1 Manual'!D11</f>
        <v>330000</v>
      </c>
      <c r="E7" s="20" t="n">
        <f aca="false">'07. CF — Alt 3 In-House'!E13-'05. CF — Alt 1 Manual'!E11</f>
        <v>330000</v>
      </c>
      <c r="F7" s="20" t="n">
        <f aca="false">'07. CF — Alt 3 In-House'!F13-'05. CF — Alt 1 Manual'!F11</f>
        <v>330000</v>
      </c>
      <c r="G7" s="20" t="n">
        <f aca="false">'07. CF — Alt 3 In-House'!G13-'05. CF — Alt 1 Manual'!G11</f>
        <v>330000</v>
      </c>
      <c r="H7" s="20" t="n">
        <f aca="false">'07. CF — Alt 3 In-House'!H13-'05. CF — Alt 1 Manual'!H11</f>
        <v>410000</v>
      </c>
      <c r="J7" s="25" t="n">
        <f aca="false">IRR(C7:H7)</f>
        <v>0.860200122651524</v>
      </c>
    </row>
    <row r="8" customFormat="false" ht="13.8" hidden="false" customHeight="false" outlineLevel="0" collapsed="false"/>
    <row r="9" customFormat="false" ht="17.35" hidden="false" customHeight="false" outlineLevel="0" collapsed="false">
      <c r="B9" s="3" t="s">
        <v>194</v>
      </c>
      <c r="C9" s="3"/>
      <c r="D9" s="3"/>
      <c r="E9" s="3"/>
      <c r="F9" s="3"/>
      <c r="G9" s="3"/>
      <c r="H9" s="3"/>
      <c r="I9" s="3"/>
      <c r="J9" s="3"/>
    </row>
    <row r="10" customFormat="false" ht="16.4" hidden="false" customHeight="false" outlineLevel="0" collapsed="false">
      <c r="B10" s="6" t="s">
        <v>79</v>
      </c>
      <c r="C10" s="19" t="s">
        <v>191</v>
      </c>
      <c r="D10" s="19" t="s">
        <v>17</v>
      </c>
      <c r="E10" s="7" t="s">
        <v>195</v>
      </c>
      <c r="F10" s="6" t="s">
        <v>196</v>
      </c>
    </row>
    <row r="11" customFormat="false" ht="16.4" hidden="false" customHeight="false" outlineLevel="0" collapsed="false">
      <c r="B11" s="4" t="s">
        <v>197</v>
      </c>
      <c r="C11" s="25" t="n">
        <f aca="false">J6</f>
        <v>11.933300356044</v>
      </c>
      <c r="D11" s="26" t="n">
        <f aca="false">MARR</f>
        <v>0.15</v>
      </c>
      <c r="E11" s="27" t="str">
        <f aca="false">IF(J6&gt;MARR,"ACCEPT","REJECT")</f>
        <v>ACCEPT</v>
      </c>
      <c r="F11" s="5" t="str">
        <f aca="false">IF(J6&gt;MARR,"IRR exceeds MARR — investment justified","IRR below MARR — do not invest")</f>
        <v>IRR exceeds MARR — investment justified</v>
      </c>
    </row>
    <row r="12" customFormat="false" ht="16.4" hidden="false" customHeight="false" outlineLevel="0" collapsed="false">
      <c r="B12" s="4" t="s">
        <v>198</v>
      </c>
      <c r="C12" s="25" t="n">
        <f aca="false">J7</f>
        <v>0.860200122651524</v>
      </c>
      <c r="D12" s="26" t="n">
        <f aca="false">MARR</f>
        <v>0.15</v>
      </c>
      <c r="E12" s="27" t="str">
        <f aca="false">IF(J7&gt;MARR,"ACCEPT","REJECT")</f>
        <v>ACCEPT</v>
      </c>
      <c r="F12" s="5" t="str">
        <f aca="false">IF(J7&gt;MARR,"IRR exceeds MARR — investment justified","IRR below MARR — do not invest")</f>
        <v>IRR exceeds MARR — investment justified</v>
      </c>
    </row>
    <row r="13" customFormat="false" ht="13.8" hidden="false" customHeight="false" outlineLevel="0" collapsed="false"/>
    <row r="14" customFormat="false" ht="13.8" hidden="false" customHeight="true" outlineLevel="0" collapsed="false">
      <c r="B14" s="10" t="s">
        <v>199</v>
      </c>
      <c r="C14" s="10"/>
      <c r="D14" s="10"/>
      <c r="E14" s="10"/>
      <c r="F14" s="10"/>
    </row>
    <row r="15" customFormat="false" ht="13.8" hidden="false" customHeight="false" outlineLevel="0" collapsed="false">
      <c r="B15" s="10"/>
      <c r="C15" s="10"/>
      <c r="D15" s="10"/>
      <c r="E15" s="10"/>
      <c r="F15" s="10"/>
    </row>
    <row r="16" customFormat="false" ht="13.8" hidden="false" customHeight="false" outlineLevel="0" collapsed="false">
      <c r="B16" s="10"/>
      <c r="C16" s="10"/>
      <c r="D16" s="10"/>
      <c r="E16" s="10"/>
      <c r="F16" s="10"/>
    </row>
  </sheetData>
  <mergeCells count="3">
    <mergeCell ref="B2:H2"/>
    <mergeCell ref="B9:J9"/>
    <mergeCell ref="B14:F16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2540"/>
    <pageSetUpPr fitToPage="false"/>
  </sheetPr>
  <dimension ref="B1:G2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H11" activeCellId="0" sqref="H11"/>
    </sheetView>
  </sheetViews>
  <sheetFormatPr defaultColWidth="8.59765625" defaultRowHeight="12.8" customHeight="false" zeroHeight="false" outlineLevelRow="0" outlineLevelCol="0"/>
  <cols>
    <col collapsed="false" customWidth="true" hidden="false" outlineLevel="0" max="1" min="1" style="0" width="2.71"/>
    <col collapsed="false" customWidth="true" hidden="false" outlineLevel="0" max="2" min="2" style="0" width="38.71"/>
    <col collapsed="false" customWidth="true" hidden="false" outlineLevel="0" max="7" min="3" style="0" width="22.71"/>
  </cols>
  <sheetData>
    <row r="1" customFormat="false" ht="13.8" hidden="false" customHeight="false" outlineLevel="0" collapsed="false"/>
    <row r="2" customFormat="false" ht="31.5" hidden="false" customHeight="false" outlineLevel="0" collapsed="false">
      <c r="B2" s="11" t="s">
        <v>200</v>
      </c>
      <c r="C2" s="11"/>
      <c r="D2" s="11"/>
      <c r="E2" s="11"/>
      <c r="F2" s="11"/>
      <c r="G2" s="11"/>
    </row>
    <row r="3" customFormat="false" ht="16.15" hidden="false" customHeight="false" outlineLevel="0" collapsed="false">
      <c r="B3" s="2" t="s">
        <v>201</v>
      </c>
    </row>
    <row r="4" customFormat="false" ht="13.8" hidden="false" customHeight="false" outlineLevel="0" collapsed="false"/>
    <row r="5" customFormat="false" ht="16.4" hidden="false" customHeight="false" outlineLevel="0" collapsed="false">
      <c r="B5" s="6" t="s">
        <v>177</v>
      </c>
      <c r="C5" s="19" t="s">
        <v>202</v>
      </c>
      <c r="D5" s="19" t="s">
        <v>203</v>
      </c>
      <c r="E5" s="19" t="s">
        <v>204</v>
      </c>
      <c r="F5" s="6" t="s">
        <v>205</v>
      </c>
    </row>
    <row r="6" customFormat="false" ht="16.4" hidden="false" customHeight="false" outlineLevel="0" collapsed="false">
      <c r="B6" s="4" t="s">
        <v>206</v>
      </c>
      <c r="C6" s="22" t="n">
        <f aca="false">-'06. CF — Alt 2 SaaS'!C6--'05. CF — Alt 1 Manual'!C6</f>
        <v>15000</v>
      </c>
      <c r="D6" s="22" t="n">
        <f aca="false">-'07. CF — Alt 3 In-House'!C6--'05. CF — Alt 1 Manual'!C6</f>
        <v>370000</v>
      </c>
      <c r="E6" s="22" t="n">
        <f aca="false">-'07. CF — Alt 3 In-House'!C6--'06. CF — Alt 2 SaaS'!C6</f>
        <v>355000</v>
      </c>
      <c r="F6" s="13" t="s">
        <v>207</v>
      </c>
    </row>
    <row r="7" customFormat="false" ht="28.35" hidden="false" customHeight="false" outlineLevel="0" collapsed="false">
      <c r="B7" s="4" t="s">
        <v>208</v>
      </c>
      <c r="C7" s="22" t="n">
        <f aca="false">'06. CF — Alt 2 SaaS'!J8-'05. CF — Alt 1 Manual'!J8</f>
        <v>179000</v>
      </c>
      <c r="D7" s="22" t="n">
        <f aca="false">'07. CF — Alt 3 In-House'!J8-'05. CF — Alt 1 Manual'!J8</f>
        <v>330000</v>
      </c>
      <c r="E7" s="22" t="n">
        <f aca="false">'07. CF — Alt 3 In-House'!J8-'06. CF — Alt 2 SaaS'!J8</f>
        <v>151000</v>
      </c>
      <c r="F7" s="13" t="s">
        <v>209</v>
      </c>
    </row>
    <row r="8" customFormat="false" ht="16.4" hidden="false" customHeight="false" outlineLevel="0" collapsed="false">
      <c r="B8" s="5" t="s">
        <v>210</v>
      </c>
      <c r="C8" s="20" t="n">
        <v>0</v>
      </c>
      <c r="D8" s="20" t="n">
        <v>80000</v>
      </c>
      <c r="E8" s="20" t="n">
        <v>80000</v>
      </c>
    </row>
    <row r="9" customFormat="false" ht="16.4" hidden="false" customHeight="false" outlineLevel="0" collapsed="false">
      <c r="B9" s="4" t="s">
        <v>211</v>
      </c>
      <c r="C9" s="22" t="n">
        <f aca="false">-PV(MARR,STUDY_PERIOD,C7,,)</f>
        <v>600035.762544041</v>
      </c>
      <c r="D9" s="22" t="n">
        <f aca="false">-PV(MARR,STUDY_PERIOD,D7,,)+PV(MARR,STUDY_PERIOD,,D8)</f>
        <v>1066437.0435199</v>
      </c>
      <c r="E9" s="22" t="n">
        <f aca="false">-PV(MARR,STUDY_PERIOD,E7,,)+PV(MARR,STUDY_PERIOD,,E8)</f>
        <v>466401.280975858</v>
      </c>
      <c r="F9" s="13" t="s">
        <v>212</v>
      </c>
    </row>
    <row r="10" customFormat="false" ht="16.4" hidden="false" customHeight="false" outlineLevel="0" collapsed="false">
      <c r="B10" s="4" t="s">
        <v>213</v>
      </c>
      <c r="C10" s="22" t="n">
        <f aca="false">C6</f>
        <v>15000</v>
      </c>
      <c r="D10" s="22" t="n">
        <f aca="false">D6</f>
        <v>370000</v>
      </c>
      <c r="E10" s="22" t="n">
        <f aca="false">E6</f>
        <v>355000</v>
      </c>
    </row>
    <row r="11" customFormat="false" ht="16.4" hidden="false" customHeight="false" outlineLevel="0" collapsed="false">
      <c r="B11" s="4" t="s">
        <v>214</v>
      </c>
      <c r="C11" s="28" t="n">
        <f aca="false">C9/C10</f>
        <v>40.0023841696027</v>
      </c>
      <c r="D11" s="28" t="n">
        <f aca="false">D9/D10</f>
        <v>2.88226227978351</v>
      </c>
      <c r="E11" s="28" t="n">
        <f aca="false">E9/E10</f>
        <v>1.31380642528411</v>
      </c>
      <c r="F11" s="13" t="s">
        <v>215</v>
      </c>
    </row>
    <row r="12" customFormat="false" ht="16.4" hidden="false" customHeight="false" outlineLevel="0" collapsed="false">
      <c r="B12" s="4" t="s">
        <v>216</v>
      </c>
      <c r="C12" s="27" t="s">
        <v>217</v>
      </c>
      <c r="D12" s="27" t="s">
        <v>217</v>
      </c>
      <c r="E12" s="27" t="s">
        <v>217</v>
      </c>
      <c r="F12" s="13"/>
    </row>
    <row r="13" customFormat="false" ht="13.8" hidden="false" customHeight="false" outlineLevel="0" collapsed="false"/>
    <row r="14" customFormat="false" ht="13.8" hidden="false" customHeight="false" outlineLevel="0" collapsed="false"/>
    <row r="15" customFormat="false" ht="13.8" hidden="false" customHeight="false" outlineLevel="0" collapsed="false"/>
    <row r="16" customFormat="false" ht="13.8" hidden="false" customHeight="false" outlineLevel="0" collapsed="false"/>
    <row r="17" customFormat="false" ht="13.8" hidden="false" customHeight="false" outlineLevel="0" collapsed="false"/>
    <row r="18" customFormat="false" ht="13.8" hidden="false" customHeight="false" outlineLevel="0" collapsed="false"/>
    <row r="19" customFormat="false" ht="13.8" hidden="false" customHeight="false" outlineLevel="0" collapsed="false"/>
    <row r="20" customFormat="false" ht="13.8" hidden="false" customHeight="false" outlineLevel="0" collapsed="false"/>
    <row r="21" customFormat="false" ht="13.8" hidden="false" customHeight="false" outlineLevel="0" collapsed="false"/>
  </sheetData>
  <mergeCells count="1">
    <mergeCell ref="B2:G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2540"/>
    <pageSetUpPr fitToPage="false"/>
  </sheetPr>
  <dimension ref="B1:F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F26" activeCellId="0" sqref="F26"/>
    </sheetView>
  </sheetViews>
  <sheetFormatPr defaultColWidth="8.59765625" defaultRowHeight="12.8" customHeight="false" zeroHeight="false" outlineLevelRow="0" outlineLevelCol="0"/>
  <cols>
    <col collapsed="false" customWidth="true" hidden="false" outlineLevel="0" max="1" min="1" style="0" width="2.71"/>
    <col collapsed="false" customWidth="true" hidden="false" outlineLevel="0" max="2" min="2" style="0" width="42.71"/>
    <col collapsed="false" customWidth="true" hidden="false" outlineLevel="0" max="6" min="3" style="0" width="22.71"/>
  </cols>
  <sheetData>
    <row r="1" customFormat="false" ht="13.8" hidden="false" customHeight="false" outlineLevel="0" collapsed="false"/>
    <row r="2" customFormat="false" ht="31.5" hidden="false" customHeight="false" outlineLevel="0" collapsed="false">
      <c r="B2" s="11" t="s">
        <v>218</v>
      </c>
      <c r="C2" s="11"/>
      <c r="D2" s="11"/>
      <c r="E2" s="11"/>
      <c r="F2" s="11"/>
    </row>
    <row r="3" customFormat="false" ht="16.15" hidden="false" customHeight="false" outlineLevel="0" collapsed="false">
      <c r="B3" s="2" t="s">
        <v>219</v>
      </c>
    </row>
    <row r="4" customFormat="false" ht="13.8" hidden="false" customHeight="false" outlineLevel="0" collapsed="false"/>
    <row r="5" customFormat="false" ht="17.35" hidden="false" customHeight="false" outlineLevel="0" collapsed="false">
      <c r="B5" s="3" t="s">
        <v>220</v>
      </c>
      <c r="C5" s="3"/>
      <c r="D5" s="3"/>
      <c r="E5" s="3"/>
      <c r="F5" s="3"/>
    </row>
    <row r="6" customFormat="false" ht="28.35" hidden="false" customHeight="false" outlineLevel="0" collapsed="false">
      <c r="B6" s="13" t="s">
        <v>221</v>
      </c>
    </row>
    <row r="7" customFormat="false" ht="16.4" hidden="false" customHeight="false" outlineLevel="0" collapsed="false">
      <c r="B7" s="4" t="s">
        <v>222</v>
      </c>
      <c r="C7" s="22" t="n">
        <f aca="false">SUM('04. Annual Cost'!D9:D11)</f>
        <v>165000</v>
      </c>
    </row>
    <row r="8" customFormat="false" ht="16.4" hidden="false" customHeight="false" outlineLevel="0" collapsed="false">
      <c r="B8" s="4" t="s">
        <v>223</v>
      </c>
      <c r="C8" s="22" t="n">
        <f aca="false">'04. Annual Cost'!D30</f>
        <v>225000</v>
      </c>
    </row>
    <row r="9" customFormat="false" ht="16.4" hidden="false" customHeight="false" outlineLevel="0" collapsed="false">
      <c r="B9" s="4" t="s">
        <v>224</v>
      </c>
      <c r="C9" s="22" t="n">
        <f aca="false">C8 - PMT(MARR, STUDY_PERIOD, -'07. CF — Alt 3 In-House'!C6, -'07. CF — Alt 3 In-House'!J9)</f>
        <v>326494.665738459</v>
      </c>
    </row>
    <row r="10" customFormat="false" ht="28.35" hidden="false" customHeight="false" outlineLevel="0" collapsed="false">
      <c r="B10" s="4" t="s">
        <v>225</v>
      </c>
      <c r="C10" s="24" t="n">
        <f aca="false">((225000 + PMT(15%, 5, -380000, 80000)) - 165000 - PMT(15%, 5, -10000)) / 3</f>
        <v>52837.1700712811</v>
      </c>
      <c r="D10" s="13" t="s">
        <v>226</v>
      </c>
      <c r="E10" s="18" t="s">
        <v>227</v>
      </c>
    </row>
    <row r="11" customFormat="false" ht="31.3" hidden="false" customHeight="true" outlineLevel="0" collapsed="false">
      <c r="B11" s="4" t="s">
        <v>228</v>
      </c>
      <c r="C11" s="10" t="s">
        <v>229</v>
      </c>
      <c r="D11" s="10"/>
      <c r="E11" s="10"/>
      <c r="F11" s="10"/>
    </row>
    <row r="12" customFormat="false" ht="13.8" hidden="false" customHeight="false" outlineLevel="0" collapsed="false"/>
    <row r="13" customFormat="false" ht="13.8" hidden="false" customHeight="false" outlineLevel="0" collapsed="false"/>
    <row r="14" customFormat="false" ht="13.8" hidden="false" customHeight="false" outlineLevel="0" collapsed="false"/>
    <row r="15" customFormat="false" ht="13.8" hidden="false" customHeight="false" outlineLevel="0" collapsed="false"/>
    <row r="16" customFormat="false" ht="13.8" hidden="false" customHeight="false" outlineLevel="0" collapsed="false"/>
    <row r="17" customFormat="false" ht="13.8" hidden="false" customHeight="false" outlineLevel="0" collapsed="false"/>
    <row r="18" customFormat="false" ht="13.8" hidden="false" customHeight="false" outlineLevel="0" collapsed="false"/>
    <row r="19" customFormat="false" ht="13.8" hidden="false" customHeight="false" outlineLevel="0" collapsed="false"/>
    <row r="20" customFormat="false" ht="13.8" hidden="false" customHeight="false" outlineLevel="0" collapsed="false"/>
    <row r="21" customFormat="false" ht="13.8" hidden="false" customHeight="false" outlineLevel="0" collapsed="false"/>
    <row r="22" customFormat="false" ht="13.8" hidden="false" customHeight="false" outlineLevel="0" collapsed="false"/>
    <row r="23" customFormat="false" ht="13.8" hidden="false" customHeight="false" outlineLevel="0" collapsed="false"/>
    <row r="24" customFormat="false" ht="13.8" hidden="false" customHeight="false" outlineLevel="0" collapsed="false"/>
    <row r="25" customFormat="false" ht="13.8" hidden="false" customHeight="false" outlineLevel="0" collapsed="false"/>
    <row r="26" customFormat="false" ht="13.8" hidden="false" customHeight="false" outlineLevel="0" collapsed="false"/>
    <row r="27" customFormat="false" ht="13.8" hidden="false" customHeight="false" outlineLevel="0" collapsed="false"/>
    <row r="28" customFormat="false" ht="13.8" hidden="false" customHeight="false" outlineLevel="0" collapsed="false"/>
    <row r="29" customFormat="false" ht="13.8" hidden="false" customHeight="false" outlineLevel="0" collapsed="false"/>
    <row r="30" customFormat="false" ht="13.8" hidden="false" customHeight="false" outlineLevel="0" collapsed="false"/>
    <row r="31" customFormat="false" ht="13.8" hidden="false" customHeight="false" outlineLevel="0" collapsed="false"/>
    <row r="32" customFormat="false" ht="13.8" hidden="false" customHeight="false" outlineLevel="0" collapsed="false"/>
    <row r="33" customFormat="false" ht="13.8" hidden="false" customHeight="false" outlineLevel="0" collapsed="false"/>
    <row r="34" customFormat="false" ht="13.8" hidden="false" customHeight="false" outlineLevel="0" collapsed="false"/>
    <row r="35" customFormat="false" ht="13.8" hidden="false" customHeight="false" outlineLevel="0" collapsed="false"/>
    <row r="36" customFormat="false" ht="13.8" hidden="false" customHeight="false" outlineLevel="0" collapsed="false"/>
    <row r="37" customFormat="false" ht="13.8" hidden="false" customHeight="false" outlineLevel="0" collapsed="false"/>
    <row r="38" customFormat="false" ht="13.8" hidden="false" customHeight="false" outlineLevel="0" collapsed="false"/>
  </sheetData>
  <mergeCells count="3">
    <mergeCell ref="B2:F2"/>
    <mergeCell ref="B5:F5"/>
    <mergeCell ref="C11:F11"/>
  </mergeCells>
  <hyperlinks>
    <hyperlink ref="E10" r:id="rId1" display="BLS OHS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2540"/>
    <pageSetUpPr fitToPage="false"/>
  </sheetPr>
  <dimension ref="B1:H4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13" activePane="bottomLeft" state="frozen"/>
      <selection pane="topLeft" activeCell="A1" activeCellId="0" sqref="A1"/>
      <selection pane="bottomLeft" activeCell="F17" activeCellId="0" sqref="F17"/>
    </sheetView>
  </sheetViews>
  <sheetFormatPr defaultColWidth="8.59765625" defaultRowHeight="12.8" customHeight="false" zeroHeight="false" outlineLevelRow="0" outlineLevelCol="0"/>
  <cols>
    <col collapsed="false" customWidth="true" hidden="false" outlineLevel="0" max="1" min="1" style="0" width="2.71"/>
    <col collapsed="false" customWidth="true" hidden="false" outlineLevel="0" max="2" min="2" style="0" width="30.71"/>
    <col collapsed="false" customWidth="true" hidden="false" outlineLevel="0" max="8" min="3" style="0" width="18.71"/>
  </cols>
  <sheetData>
    <row r="1" customFormat="false" ht="13.8" hidden="false" customHeight="false" outlineLevel="0" collapsed="false"/>
    <row r="2" customFormat="false" ht="31.5" hidden="false" customHeight="false" outlineLevel="0" collapsed="false">
      <c r="B2" s="11" t="s">
        <v>230</v>
      </c>
      <c r="C2" s="11"/>
      <c r="D2" s="11"/>
      <c r="E2" s="11"/>
      <c r="F2" s="11"/>
      <c r="G2" s="11"/>
      <c r="H2" s="11"/>
    </row>
    <row r="3" customFormat="false" ht="16.15" hidden="false" customHeight="false" outlineLevel="0" collapsed="false">
      <c r="B3" s="2" t="s">
        <v>231</v>
      </c>
    </row>
    <row r="4" customFormat="false" ht="13.8" hidden="false" customHeight="false" outlineLevel="0" collapsed="false"/>
    <row r="5" customFormat="false" ht="16.4" hidden="false" customHeight="false" outlineLevel="0" collapsed="false">
      <c r="B5" s="6" t="s">
        <v>232</v>
      </c>
      <c r="C5" s="19" t="s">
        <v>233</v>
      </c>
      <c r="D5" s="19" t="s">
        <v>234</v>
      </c>
      <c r="E5" s="19" t="s">
        <v>235</v>
      </c>
      <c r="F5" s="19" t="s">
        <v>236</v>
      </c>
    </row>
    <row r="6" customFormat="false" ht="16.4" hidden="false" customHeight="false" outlineLevel="0" collapsed="false">
      <c r="B6" s="4" t="s">
        <v>237</v>
      </c>
      <c r="C6" s="20" t="n">
        <f aca="false">D6-(PV(MARR,STUDY_PERIOD,'07. CF — Alt 3 In-House'!J8*-0.2))</f>
        <v>-943613.778818189</v>
      </c>
      <c r="D6" s="20" t="n">
        <f aca="false">'07. CF — Alt 3 In-House'!J10</f>
        <v>-1094460.7582287</v>
      </c>
      <c r="E6" s="20" t="n">
        <f aca="false">D6-(PV(MARR,STUDY_PERIOD,'07. CF — Alt 3 In-House'!J8*0.2))</f>
        <v>-1245307.73763922</v>
      </c>
      <c r="F6" s="20" t="n">
        <v>301693.958821026</v>
      </c>
    </row>
    <row r="7" customFormat="false" ht="16.4" hidden="false" customHeight="false" outlineLevel="0" collapsed="false">
      <c r="B7" s="4" t="s">
        <v>238</v>
      </c>
      <c r="C7" s="20" t="n">
        <f aca="false">-380000 - PV(10%, 5, -225000, 80000)</f>
        <v>-1183253.31727217</v>
      </c>
      <c r="D7" s="20" t="n">
        <f aca="false">'07. CF — Alt 3 In-House'!J10</f>
        <v>-1094460.7582287</v>
      </c>
      <c r="E7" s="20" t="n">
        <f aca="false">-380000 - PV(20%, 5, -225000, 80000)</f>
        <v>-1020737.52572016</v>
      </c>
      <c r="F7" s="20" t="n">
        <v>162515.791552005</v>
      </c>
    </row>
    <row r="8" customFormat="false" ht="16.4" hidden="false" customHeight="false" outlineLevel="0" collapsed="false">
      <c r="B8" s="4" t="s">
        <v>239</v>
      </c>
      <c r="C8" s="20" t="n">
        <v>-1018460.7582287</v>
      </c>
      <c r="D8" s="20" t="n">
        <f aca="false">'07. CF — Alt 3 In-House'!J10</f>
        <v>-1094460.7582287</v>
      </c>
      <c r="E8" s="20" t="n">
        <v>-1170460.7582287</v>
      </c>
      <c r="F8" s="20" t="n">
        <v>152000</v>
      </c>
    </row>
    <row r="9" customFormat="false" ht="16.4" hidden="false" customHeight="false" outlineLevel="0" collapsed="false">
      <c r="B9" s="4" t="s">
        <v>240</v>
      </c>
      <c r="C9" s="20" t="n">
        <v>-1069319.59499362</v>
      </c>
      <c r="D9" s="20" t="n">
        <f aca="false">'07. CF — Alt 3 In-House'!J10</f>
        <v>-1094460.7582287</v>
      </c>
      <c r="E9" s="20" t="n">
        <v>-1119601.92146379</v>
      </c>
      <c r="F9" s="20" t="n">
        <v>50282.3264701711</v>
      </c>
    </row>
    <row r="10" customFormat="false" ht="16.4" hidden="false" customHeight="false" outlineLevel="0" collapsed="false">
      <c r="B10" s="4" t="s">
        <v>241</v>
      </c>
      <c r="C10" s="20" t="n">
        <v>-1114347.82764063</v>
      </c>
      <c r="D10" s="20" t="n">
        <f aca="false">'07. CF — Alt 3 In-House'!J10</f>
        <v>-1094460.7582287</v>
      </c>
      <c r="E10" s="20" t="n">
        <v>-1074573.68881677</v>
      </c>
      <c r="F10" s="20" t="n">
        <v>39774.1388238631</v>
      </c>
    </row>
    <row r="11" customFormat="false" ht="13.8" hidden="false" customHeight="false" outlineLevel="0" collapsed="false">
      <c r="B11" s="16" t="s">
        <v>242</v>
      </c>
      <c r="C11" s="16"/>
      <c r="D11" s="16"/>
      <c r="E11" s="16"/>
      <c r="F11" s="16"/>
    </row>
    <row r="12" customFormat="false" ht="16.4" hidden="false" customHeight="false" outlineLevel="0" collapsed="false">
      <c r="B12" s="6" t="s">
        <v>232</v>
      </c>
      <c r="C12" s="19" t="s">
        <v>243</v>
      </c>
      <c r="D12" s="19" t="s">
        <v>244</v>
      </c>
      <c r="E12" s="19" t="s">
        <v>245</v>
      </c>
      <c r="F12" s="19" t="s">
        <v>246</v>
      </c>
    </row>
    <row r="13" customFormat="false" ht="16.4" hidden="false" customHeight="false" outlineLevel="0" collapsed="false">
      <c r="B13" s="5" t="s">
        <v>237</v>
      </c>
      <c r="C13" s="20" t="n">
        <v>150846.979410513</v>
      </c>
      <c r="D13" s="20" t="n">
        <v>-150846.979410513</v>
      </c>
      <c r="E13" s="29" t="n">
        <f aca="false">(C6-D6)/D6</f>
        <v>-0.137827672921455</v>
      </c>
      <c r="F13" s="29" t="n">
        <f aca="false">(E6-D6)/D6</f>
        <v>0.137827672921455</v>
      </c>
    </row>
    <row r="14" customFormat="false" ht="16.4" hidden="false" customHeight="false" outlineLevel="0" collapsed="false">
      <c r="B14" s="5" t="s">
        <v>238</v>
      </c>
      <c r="C14" s="20" t="n">
        <v>-88792.559043467</v>
      </c>
      <c r="D14" s="20" t="n">
        <v>73723.2325085376</v>
      </c>
      <c r="E14" s="29" t="n">
        <f aca="false">(C7-D7)/D7</f>
        <v>0.0811290476847889</v>
      </c>
      <c r="F14" s="29" t="n">
        <f aca="false">(E7-D7)/D7</f>
        <v>-0.0673603251228972</v>
      </c>
    </row>
    <row r="15" customFormat="false" ht="16.4" hidden="false" customHeight="false" outlineLevel="0" collapsed="false">
      <c r="B15" s="5" t="s">
        <v>239</v>
      </c>
      <c r="C15" s="20" t="n">
        <v>76000.0000000001</v>
      </c>
      <c r="D15" s="20" t="n">
        <v>-76000</v>
      </c>
      <c r="E15" s="29" t="n">
        <f aca="false">(C8-D8)/D8</f>
        <v>-0.0694405892843544</v>
      </c>
      <c r="F15" s="29" t="n">
        <f aca="false">(E8-D8)/D8</f>
        <v>0.0694405892843499</v>
      </c>
    </row>
    <row r="16" customFormat="false" ht="16.4" hidden="false" customHeight="false" outlineLevel="0" collapsed="false">
      <c r="B16" s="5" t="s">
        <v>240</v>
      </c>
      <c r="C16" s="20" t="n">
        <v>25141.1632350856</v>
      </c>
      <c r="D16" s="20" t="n">
        <v>-25141.1632350856</v>
      </c>
      <c r="E16" s="29" t="n">
        <f aca="false">(C9-D9)/D9</f>
        <v>-0.0229712788202397</v>
      </c>
      <c r="F16" s="29" t="n">
        <f aca="false">(E9-D9)/D9</f>
        <v>0.0229712788202442</v>
      </c>
    </row>
    <row r="17" customFormat="false" ht="16.4" hidden="false" customHeight="false" outlineLevel="0" collapsed="false">
      <c r="B17" s="5" t="s">
        <v>241</v>
      </c>
      <c r="C17" s="20" t="n">
        <v>-19887.0694119316</v>
      </c>
      <c r="D17" s="20" t="n">
        <v>19887.0694119316</v>
      </c>
      <c r="E17" s="29" t="n">
        <f aca="false">(C10-D10)/D10</f>
        <v>0.0181706555145141</v>
      </c>
      <c r="F17" s="29" t="n">
        <f aca="false">(E10-D10)/D10</f>
        <v>-0.0181706555145185</v>
      </c>
    </row>
    <row r="18" customFormat="false" ht="13.8" hidden="false" customHeight="false" outlineLevel="0" collapsed="false"/>
    <row r="19" customFormat="false" ht="13.8" hidden="false" customHeight="false" outlineLevel="0" collapsed="false"/>
    <row r="20" customFormat="false" ht="13.8" hidden="false" customHeight="false" outlineLevel="0" collapsed="false"/>
    <row r="21" customFormat="false" ht="13.8" hidden="false" customHeight="false" outlineLevel="0" collapsed="false"/>
    <row r="22" customFormat="false" ht="13.8" hidden="false" customHeight="false" outlineLevel="0" collapsed="false"/>
    <row r="23" customFormat="false" ht="13.8" hidden="false" customHeight="false" outlineLevel="0" collapsed="false"/>
    <row r="24" customFormat="false" ht="13.8" hidden="false" customHeight="false" outlineLevel="0" collapsed="false"/>
    <row r="25" customFormat="false" ht="13.8" hidden="false" customHeight="false" outlineLevel="0" collapsed="false"/>
    <row r="26" customFormat="false" ht="13.8" hidden="false" customHeight="false" outlineLevel="0" collapsed="false"/>
    <row r="27" customFormat="false" ht="13.8" hidden="false" customHeight="false" outlineLevel="0" collapsed="false"/>
    <row r="28" customFormat="false" ht="13.8" hidden="false" customHeight="false" outlineLevel="0" collapsed="false"/>
    <row r="29" customFormat="false" ht="13.8" hidden="false" customHeight="false" outlineLevel="0" collapsed="false"/>
    <row r="30" customFormat="false" ht="13.8" hidden="false" customHeight="false" outlineLevel="0" collapsed="false"/>
    <row r="31" customFormat="false" ht="13.8" hidden="false" customHeight="false" outlineLevel="0" collapsed="false"/>
    <row r="32" customFormat="false" ht="13.8" hidden="false" customHeight="false" outlineLevel="0" collapsed="false"/>
    <row r="33" customFormat="false" ht="13.8" hidden="false" customHeight="false" outlineLevel="0" collapsed="false"/>
    <row r="34" customFormat="false" ht="13.8" hidden="false" customHeight="false" outlineLevel="0" collapsed="false"/>
    <row r="35" customFormat="false" ht="13.8" hidden="false" customHeight="false" outlineLevel="0" collapsed="false"/>
    <row r="36" customFormat="false" ht="13.8" hidden="false" customHeight="false" outlineLevel="0" collapsed="false"/>
    <row r="37" customFormat="false" ht="13.8" hidden="false" customHeight="false" outlineLevel="0" collapsed="false"/>
    <row r="38" customFormat="false" ht="13.8" hidden="false" customHeight="false" outlineLevel="0" collapsed="false"/>
    <row r="39" customFormat="false" ht="13.8" hidden="false" customHeight="false" outlineLevel="0" collapsed="false"/>
    <row r="40" customFormat="false" ht="13.8" hidden="false" customHeight="false" outlineLevel="0" collapsed="false"/>
    <row r="41" customFormat="false" ht="13.8" hidden="false" customHeight="false" outlineLevel="0" collapsed="false"/>
    <row r="42" customFormat="false" ht="13.8" hidden="false" customHeight="false" outlineLevel="0" collapsed="false"/>
    <row r="43" customFormat="false" ht="13.8" hidden="false" customHeight="false" outlineLevel="0" collapsed="false"/>
    <row r="44" customFormat="false" ht="13.8" hidden="false" customHeight="false" outlineLevel="0" collapsed="false"/>
    <row r="45" customFormat="false" ht="13.8" hidden="false" customHeight="false" outlineLevel="0" collapsed="false"/>
    <row r="46" customFormat="false" ht="13.8" hidden="false" customHeight="false" outlineLevel="0" collapsed="false"/>
    <row r="47" customFormat="false" ht="13.8" hidden="false" customHeight="false" outlineLevel="0" collapsed="false"/>
    <row r="48" customFormat="false" ht="13.8" hidden="false" customHeight="false" outlineLevel="0" collapsed="false"/>
    <row r="49" customFormat="false" ht="13.8" hidden="false" customHeight="false" outlineLevel="0" collapsed="false"/>
  </sheetData>
  <mergeCells count="2">
    <mergeCell ref="B2:H2"/>
    <mergeCell ref="B11:F1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9C37D"/>
    <pageSetUpPr fitToPage="false"/>
  </sheetPr>
  <dimension ref="B1:F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E34" activeCellId="0" sqref="E34"/>
    </sheetView>
  </sheetViews>
  <sheetFormatPr defaultColWidth="8.59765625" defaultRowHeight="12.8" customHeight="false" zeroHeight="false" outlineLevelRow="0" outlineLevelCol="0"/>
  <cols>
    <col collapsed="false" customWidth="true" hidden="false" outlineLevel="0" max="1" min="1" style="0" width="2.71"/>
    <col collapsed="false" customWidth="true" hidden="false" outlineLevel="0" max="2" min="2" style="0" width="32.72"/>
    <col collapsed="false" customWidth="true" hidden="false" outlineLevel="0" max="5" min="3" style="0" width="22.71"/>
    <col collapsed="false" customWidth="true" hidden="false" outlineLevel="0" max="6" min="6" style="0" width="50.71"/>
  </cols>
  <sheetData>
    <row r="1" customFormat="false" ht="13.8" hidden="false" customHeight="false" outlineLevel="0" collapsed="false"/>
    <row r="2" customFormat="false" ht="31.5" hidden="false" customHeight="false" outlineLevel="0" collapsed="false">
      <c r="B2" s="11" t="s">
        <v>247</v>
      </c>
      <c r="C2" s="11"/>
      <c r="D2" s="11"/>
      <c r="E2" s="11"/>
      <c r="F2" s="11"/>
    </row>
    <row r="3" customFormat="false" ht="16.15" hidden="false" customHeight="false" outlineLevel="0" collapsed="false">
      <c r="B3" s="2" t="s">
        <v>248</v>
      </c>
    </row>
    <row r="4" customFormat="false" ht="13.8" hidden="false" customHeight="false" outlineLevel="0" collapsed="false"/>
    <row r="5" customFormat="false" ht="13.8" hidden="false" customHeight="false" outlineLevel="0" collapsed="false">
      <c r="B5" s="30" t="s">
        <v>249</v>
      </c>
      <c r="C5" s="30"/>
      <c r="D5" s="30"/>
      <c r="E5" s="30"/>
      <c r="F5" s="30"/>
    </row>
    <row r="6" customFormat="false" ht="13.8" hidden="false" customHeight="false" outlineLevel="0" collapsed="false">
      <c r="B6" s="30"/>
      <c r="C6" s="30"/>
      <c r="D6" s="30"/>
      <c r="E6" s="30"/>
      <c r="F6" s="30"/>
    </row>
    <row r="7" customFormat="false" ht="13.8" hidden="false" customHeight="false" outlineLevel="0" collapsed="false"/>
    <row r="8" customFormat="false" ht="13.8" hidden="false" customHeight="false" outlineLevel="0" collapsed="false"/>
    <row r="9" customFormat="false" ht="17.35" hidden="false" customHeight="false" outlineLevel="0" collapsed="false">
      <c r="B9" s="3" t="s">
        <v>250</v>
      </c>
      <c r="C9" s="3"/>
      <c r="D9" s="3"/>
      <c r="E9" s="3"/>
      <c r="F9" s="3"/>
    </row>
    <row r="10" customFormat="false" ht="16.4" hidden="false" customHeight="false" outlineLevel="0" collapsed="false">
      <c r="B10" s="6" t="s">
        <v>251</v>
      </c>
      <c r="C10" s="19" t="s">
        <v>178</v>
      </c>
      <c r="D10" s="19" t="s">
        <v>179</v>
      </c>
      <c r="E10" s="19" t="s">
        <v>180</v>
      </c>
      <c r="F10" s="6" t="s">
        <v>252</v>
      </c>
    </row>
    <row r="11" customFormat="false" ht="16.4" hidden="false" customHeight="false" outlineLevel="0" collapsed="false">
      <c r="B11" s="4" t="s">
        <v>80</v>
      </c>
      <c r="C11" s="20" t="n">
        <v>10000</v>
      </c>
      <c r="D11" s="20" t="n">
        <v>25000</v>
      </c>
      <c r="E11" s="20" t="n">
        <v>380000</v>
      </c>
      <c r="F11" s="5"/>
    </row>
    <row r="12" customFormat="false" ht="16.4" hidden="false" customHeight="false" outlineLevel="0" collapsed="false">
      <c r="B12" s="4" t="s">
        <v>81</v>
      </c>
      <c r="C12" s="20" t="n">
        <v>555000</v>
      </c>
      <c r="D12" s="20" t="n">
        <v>376000</v>
      </c>
      <c r="E12" s="20" t="n">
        <v>225000</v>
      </c>
      <c r="F12" s="5"/>
    </row>
    <row r="13" customFormat="false" ht="16.4" hidden="false" customHeight="false" outlineLevel="0" collapsed="false">
      <c r="B13" s="4" t="s">
        <v>163</v>
      </c>
      <c r="C13" s="20" t="n">
        <v>0</v>
      </c>
      <c r="D13" s="20" t="n">
        <v>0</v>
      </c>
      <c r="E13" s="20" t="n">
        <v>80000</v>
      </c>
      <c r="F13" s="5"/>
    </row>
    <row r="14" customFormat="false" ht="16.4" hidden="false" customHeight="false" outlineLevel="0" collapsed="false">
      <c r="B14" s="4" t="s">
        <v>253</v>
      </c>
      <c r="C14" s="22" t="n">
        <v>-1870446.07939633</v>
      </c>
      <c r="D14" s="22" t="n">
        <v>-1285410.31685229</v>
      </c>
      <c r="E14" s="24" t="n">
        <v>-1094460.7582287</v>
      </c>
      <c r="F14" s="5"/>
    </row>
    <row r="15" customFormat="false" ht="16.4" hidden="false" customHeight="false" outlineLevel="0" collapsed="false">
      <c r="B15" s="4" t="s">
        <v>254</v>
      </c>
      <c r="C15" s="22" t="n">
        <v>-557983.155524615</v>
      </c>
      <c r="D15" s="22" t="n">
        <v>-383457.888811538</v>
      </c>
      <c r="E15" s="22" t="n">
        <v>-326494.665738459</v>
      </c>
      <c r="F15" s="5"/>
    </row>
    <row r="16" customFormat="false" ht="16.4" hidden="false" customHeight="false" outlineLevel="0" collapsed="false">
      <c r="B16" s="4" t="s">
        <v>255</v>
      </c>
      <c r="C16" s="22" t="n">
        <v>-3762135.165625</v>
      </c>
      <c r="D16" s="22" t="n">
        <v>-2585419.2796875</v>
      </c>
      <c r="E16" s="22" t="n">
        <v>-2201351.5125</v>
      </c>
      <c r="F16" s="5"/>
    </row>
    <row r="17" customFormat="false" ht="13.8" hidden="false" customHeight="false" outlineLevel="0" collapsed="false"/>
    <row r="18" customFormat="false" ht="17.35" hidden="false" customHeight="false" outlineLevel="0" collapsed="false">
      <c r="B18" s="3" t="s">
        <v>256</v>
      </c>
      <c r="C18" s="3"/>
      <c r="D18" s="3"/>
      <c r="E18" s="3"/>
      <c r="F18" s="3"/>
    </row>
    <row r="19" customFormat="false" ht="16.4" hidden="false" customHeight="true" outlineLevel="0" collapsed="false">
      <c r="B19" s="4" t="s">
        <v>257</v>
      </c>
      <c r="C19" s="25" t="n">
        <v>0.860200122651524</v>
      </c>
      <c r="D19" s="5" t="s">
        <v>258</v>
      </c>
      <c r="E19" s="5"/>
      <c r="F19" s="5"/>
    </row>
    <row r="20" customFormat="false" ht="16.4" hidden="false" customHeight="true" outlineLevel="0" collapsed="false">
      <c r="B20" s="4" t="s">
        <v>259</v>
      </c>
      <c r="C20" s="28" t="n">
        <f aca="false">'10. B over C'!D11</f>
        <v>2.88226227978351</v>
      </c>
      <c r="D20" s="5" t="s">
        <v>260</v>
      </c>
      <c r="E20" s="5"/>
      <c r="F20" s="5"/>
    </row>
    <row r="21" customFormat="false" ht="13.8" hidden="false" customHeight="false" outlineLevel="0" collapsed="false"/>
    <row r="22" customFormat="false" ht="17.35" hidden="false" customHeight="false" outlineLevel="0" collapsed="false">
      <c r="B22" s="3" t="s">
        <v>261</v>
      </c>
      <c r="C22" s="3"/>
      <c r="D22" s="3"/>
      <c r="E22" s="3"/>
      <c r="F22" s="3"/>
    </row>
    <row r="23" customFormat="false" ht="13.8" hidden="false" customHeight="true" outlineLevel="0" collapsed="false">
      <c r="B23" s="10" t="s">
        <v>262</v>
      </c>
      <c r="C23" s="10"/>
      <c r="D23" s="10"/>
      <c r="E23" s="10"/>
      <c r="F23" s="10"/>
    </row>
    <row r="24" customFormat="false" ht="13.8" hidden="false" customHeight="false" outlineLevel="0" collapsed="false">
      <c r="B24" s="10"/>
      <c r="C24" s="10"/>
      <c r="D24" s="10"/>
      <c r="E24" s="10"/>
      <c r="F24" s="10"/>
    </row>
    <row r="25" customFormat="false" ht="13.8" hidden="false" customHeight="false" outlineLevel="0" collapsed="false">
      <c r="B25" s="10"/>
      <c r="C25" s="10"/>
      <c r="D25" s="10"/>
      <c r="E25" s="10"/>
      <c r="F25" s="10"/>
    </row>
    <row r="26" customFormat="false" ht="13.8" hidden="false" customHeight="false" outlineLevel="0" collapsed="false">
      <c r="B26" s="10"/>
      <c r="C26" s="10"/>
      <c r="D26" s="10"/>
      <c r="E26" s="10"/>
      <c r="F26" s="10"/>
    </row>
    <row r="27" customFormat="false" ht="13.8" hidden="false" customHeight="false" outlineLevel="0" collapsed="false">
      <c r="B27" s="10"/>
      <c r="C27" s="10"/>
      <c r="D27" s="10"/>
      <c r="E27" s="10"/>
      <c r="F27" s="10"/>
    </row>
    <row r="28" customFormat="false" ht="13.8" hidden="false" customHeight="false" outlineLevel="0" collapsed="false">
      <c r="B28" s="10"/>
      <c r="C28" s="10"/>
      <c r="D28" s="10"/>
      <c r="E28" s="10"/>
      <c r="F28" s="10"/>
    </row>
    <row r="29" customFormat="false" ht="13.8" hidden="false" customHeight="false" outlineLevel="0" collapsed="false"/>
    <row r="30" customFormat="false" ht="13.8" hidden="false" customHeight="false" outlineLevel="0" collapsed="false"/>
  </sheetData>
  <mergeCells count="8">
    <mergeCell ref="B2:F2"/>
    <mergeCell ref="B5:F6"/>
    <mergeCell ref="B9:F9"/>
    <mergeCell ref="B18:F18"/>
    <mergeCell ref="D19:F19"/>
    <mergeCell ref="D20:F20"/>
    <mergeCell ref="B22:F22"/>
    <mergeCell ref="B23:F28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6B7280"/>
    <pageSetUpPr fitToPage="false"/>
  </sheetPr>
  <dimension ref="B1:G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G24" activeCellId="0" sqref="G24"/>
    </sheetView>
  </sheetViews>
  <sheetFormatPr defaultColWidth="8.59765625" defaultRowHeight="12.8" customHeight="false" zeroHeight="false" outlineLevelRow="0" outlineLevelCol="0"/>
  <cols>
    <col collapsed="false" customWidth="true" hidden="false" outlineLevel="0" max="1" min="1" style="0" width="2.71"/>
    <col collapsed="false" customWidth="true" hidden="false" outlineLevel="0" max="2" min="2" style="0" width="8.72"/>
    <col collapsed="false" customWidth="true" hidden="false" outlineLevel="0" max="3" min="3" style="0" width="24.72"/>
    <col collapsed="false" customWidth="true" hidden="false" outlineLevel="0" max="4" min="4" style="0" width="60.72"/>
    <col collapsed="false" customWidth="true" hidden="false" outlineLevel="0" max="5" min="5" style="0" width="22.71"/>
    <col collapsed="false" customWidth="true" hidden="false" outlineLevel="0" max="6" min="6" style="0" width="70.71"/>
    <col collapsed="false" customWidth="true" hidden="false" outlineLevel="0" max="7" min="7" style="0" width="60.72"/>
  </cols>
  <sheetData>
    <row r="1" customFormat="false" ht="13.8" hidden="false" customHeight="false" outlineLevel="0" collapsed="false"/>
    <row r="2" customFormat="false" ht="31.5" hidden="false" customHeight="false" outlineLevel="0" collapsed="false">
      <c r="B2" s="11" t="s">
        <v>263</v>
      </c>
      <c r="C2" s="11"/>
      <c r="D2" s="11"/>
      <c r="E2" s="11"/>
      <c r="F2" s="11"/>
      <c r="G2" s="11"/>
    </row>
    <row r="3" customFormat="false" ht="16.15" hidden="false" customHeight="false" outlineLevel="0" collapsed="false">
      <c r="B3" s="2" t="s">
        <v>264</v>
      </c>
    </row>
    <row r="4" customFormat="false" ht="13.8" hidden="false" customHeight="false" outlineLevel="0" collapsed="false"/>
    <row r="5" customFormat="false" ht="16.4" hidden="false" customHeight="false" outlineLevel="0" collapsed="false">
      <c r="B5" s="7" t="s">
        <v>88</v>
      </c>
      <c r="C5" s="6" t="s">
        <v>265</v>
      </c>
      <c r="D5" s="6" t="s">
        <v>266</v>
      </c>
      <c r="E5" s="6" t="s">
        <v>267</v>
      </c>
      <c r="F5" s="6" t="s">
        <v>268</v>
      </c>
      <c r="G5" s="6" t="s">
        <v>91</v>
      </c>
    </row>
    <row r="6" customFormat="false" ht="31.3" hidden="false" customHeight="false" outlineLevel="0" collapsed="false">
      <c r="B6" s="8" t="n">
        <v>1</v>
      </c>
      <c r="C6" s="4" t="s">
        <v>269</v>
      </c>
      <c r="D6" s="5" t="s">
        <v>120</v>
      </c>
      <c r="E6" s="5" t="s">
        <v>270</v>
      </c>
      <c r="F6" s="18" t="s">
        <v>271</v>
      </c>
      <c r="G6" s="13" t="s">
        <v>272</v>
      </c>
    </row>
    <row r="7" customFormat="false" ht="31.3" hidden="false" customHeight="false" outlineLevel="0" collapsed="false">
      <c r="B7" s="8" t="n">
        <v>2</v>
      </c>
      <c r="C7" s="4" t="s">
        <v>273</v>
      </c>
      <c r="D7" s="5" t="s">
        <v>274</v>
      </c>
      <c r="E7" s="5" t="s">
        <v>270</v>
      </c>
      <c r="F7" s="18" t="s">
        <v>275</v>
      </c>
      <c r="G7" s="13" t="s">
        <v>276</v>
      </c>
    </row>
    <row r="8" customFormat="false" ht="31.3" hidden="false" customHeight="false" outlineLevel="0" collapsed="false">
      <c r="B8" s="8" t="n">
        <v>3</v>
      </c>
      <c r="C8" s="4" t="s">
        <v>277</v>
      </c>
      <c r="D8" s="5" t="s">
        <v>278</v>
      </c>
      <c r="E8" s="5" t="s">
        <v>270</v>
      </c>
      <c r="F8" s="18" t="s">
        <v>279</v>
      </c>
      <c r="G8" s="13" t="s">
        <v>280</v>
      </c>
    </row>
    <row r="9" customFormat="false" ht="31.3" hidden="false" customHeight="false" outlineLevel="0" collapsed="false">
      <c r="B9" s="8" t="n">
        <v>4</v>
      </c>
      <c r="C9" s="4" t="s">
        <v>281</v>
      </c>
      <c r="D9" s="5" t="s">
        <v>123</v>
      </c>
      <c r="E9" s="5" t="s">
        <v>282</v>
      </c>
      <c r="F9" s="18" t="s">
        <v>283</v>
      </c>
      <c r="G9" s="13" t="s">
        <v>284</v>
      </c>
    </row>
    <row r="10" customFormat="false" ht="31.3" hidden="false" customHeight="false" outlineLevel="0" collapsed="false">
      <c r="B10" s="8" t="n">
        <v>5</v>
      </c>
      <c r="C10" s="4" t="s">
        <v>285</v>
      </c>
      <c r="D10" s="5" t="s">
        <v>286</v>
      </c>
      <c r="E10" s="5" t="s">
        <v>287</v>
      </c>
      <c r="F10" s="18" t="s">
        <v>288</v>
      </c>
      <c r="G10" s="13" t="s">
        <v>289</v>
      </c>
    </row>
    <row r="11" customFormat="false" ht="31.3" hidden="false" customHeight="false" outlineLevel="0" collapsed="false">
      <c r="B11" s="8" t="n">
        <v>6</v>
      </c>
      <c r="C11" s="4" t="s">
        <v>290</v>
      </c>
      <c r="D11" s="5" t="s">
        <v>291</v>
      </c>
      <c r="E11" s="5" t="s">
        <v>292</v>
      </c>
      <c r="F11" s="18" t="s">
        <v>293</v>
      </c>
      <c r="G11" s="13" t="s">
        <v>294</v>
      </c>
    </row>
    <row r="12" customFormat="false" ht="31.3" hidden="false" customHeight="false" outlineLevel="0" collapsed="false">
      <c r="B12" s="8" t="n">
        <v>7</v>
      </c>
      <c r="C12" s="4" t="s">
        <v>295</v>
      </c>
      <c r="D12" s="5" t="s">
        <v>126</v>
      </c>
      <c r="E12" s="5" t="s">
        <v>296</v>
      </c>
      <c r="F12" s="18" t="s">
        <v>297</v>
      </c>
      <c r="G12" s="13" t="s">
        <v>298</v>
      </c>
    </row>
    <row r="13" customFormat="false" ht="31.3" hidden="false" customHeight="false" outlineLevel="0" collapsed="false">
      <c r="B13" s="8" t="n">
        <v>8</v>
      </c>
      <c r="C13" s="4" t="s">
        <v>299</v>
      </c>
      <c r="D13" s="5" t="s">
        <v>95</v>
      </c>
      <c r="E13" s="5" t="s">
        <v>300</v>
      </c>
      <c r="F13" s="18" t="s">
        <v>301</v>
      </c>
      <c r="G13" s="13" t="s">
        <v>302</v>
      </c>
    </row>
    <row r="14" customFormat="false" ht="31.3" hidden="false" customHeight="false" outlineLevel="0" collapsed="false">
      <c r="B14" s="8" t="n">
        <v>9</v>
      </c>
      <c r="C14" s="4" t="s">
        <v>303</v>
      </c>
      <c r="D14" s="5" t="s">
        <v>99</v>
      </c>
      <c r="E14" s="5" t="s">
        <v>304</v>
      </c>
      <c r="F14" s="18" t="s">
        <v>305</v>
      </c>
      <c r="G14" s="13" t="s">
        <v>306</v>
      </c>
    </row>
    <row r="15" customFormat="false" ht="31.3" hidden="false" customHeight="false" outlineLevel="0" collapsed="false">
      <c r="B15" s="8" t="n">
        <v>10</v>
      </c>
      <c r="C15" s="4" t="s">
        <v>307</v>
      </c>
      <c r="D15" s="5" t="s">
        <v>134</v>
      </c>
      <c r="E15" s="5" t="s">
        <v>308</v>
      </c>
      <c r="F15" s="18" t="s">
        <v>309</v>
      </c>
      <c r="G15" s="13" t="s">
        <v>310</v>
      </c>
    </row>
    <row r="16" customFormat="false" ht="16.4" hidden="false" customHeight="false" outlineLevel="0" collapsed="false">
      <c r="B16" s="8" t="n">
        <v>11</v>
      </c>
      <c r="C16" s="4" t="s">
        <v>311</v>
      </c>
      <c r="D16" s="5" t="s">
        <v>139</v>
      </c>
      <c r="E16" s="5" t="s">
        <v>312</v>
      </c>
      <c r="F16" s="18" t="s">
        <v>313</v>
      </c>
      <c r="G16" s="13" t="s">
        <v>314</v>
      </c>
    </row>
    <row r="17" customFormat="false" ht="16.4" hidden="false" customHeight="false" outlineLevel="0" collapsed="false">
      <c r="B17" s="8" t="n">
        <v>12</v>
      </c>
      <c r="C17" s="4" t="s">
        <v>315</v>
      </c>
      <c r="D17" s="5" t="s">
        <v>316</v>
      </c>
      <c r="E17" s="5" t="s">
        <v>317</v>
      </c>
      <c r="F17" s="18" t="s">
        <v>318</v>
      </c>
      <c r="G17" s="13" t="s">
        <v>319</v>
      </c>
    </row>
    <row r="18" customFormat="false" ht="16.4" hidden="false" customHeight="false" outlineLevel="0" collapsed="false">
      <c r="B18" s="8" t="n">
        <v>13</v>
      </c>
      <c r="C18" s="4" t="s">
        <v>320</v>
      </c>
      <c r="D18" s="5" t="s">
        <v>105</v>
      </c>
      <c r="E18" s="5" t="s">
        <v>321</v>
      </c>
      <c r="F18" s="18" t="s">
        <v>322</v>
      </c>
      <c r="G18" s="13" t="s">
        <v>323</v>
      </c>
    </row>
    <row r="19" customFormat="false" ht="31.3" hidden="false" customHeight="false" outlineLevel="0" collapsed="false">
      <c r="B19" s="8" t="n">
        <v>14</v>
      </c>
      <c r="C19" s="4" t="s">
        <v>324</v>
      </c>
      <c r="D19" s="5" t="s">
        <v>102</v>
      </c>
      <c r="E19" s="5" t="s">
        <v>325</v>
      </c>
      <c r="F19" s="18" t="s">
        <v>326</v>
      </c>
      <c r="G19" s="13" t="s">
        <v>327</v>
      </c>
    </row>
    <row r="20" customFormat="false" ht="31.3" hidden="false" customHeight="false" outlineLevel="0" collapsed="false">
      <c r="B20" s="8" t="n">
        <v>15</v>
      </c>
      <c r="C20" s="4" t="s">
        <v>328</v>
      </c>
      <c r="D20" s="5" t="s">
        <v>146</v>
      </c>
      <c r="E20" s="5" t="s">
        <v>329</v>
      </c>
      <c r="F20" s="18" t="s">
        <v>330</v>
      </c>
      <c r="G20" s="13" t="s">
        <v>331</v>
      </c>
    </row>
    <row r="21" customFormat="false" ht="31.3" hidden="false" customHeight="false" outlineLevel="0" collapsed="false">
      <c r="B21" s="8" t="n">
        <v>16</v>
      </c>
      <c r="C21" s="4" t="s">
        <v>332</v>
      </c>
      <c r="D21" s="5" t="s">
        <v>112</v>
      </c>
      <c r="E21" s="5" t="s">
        <v>333</v>
      </c>
      <c r="F21" s="18" t="s">
        <v>334</v>
      </c>
      <c r="G21" s="13" t="s">
        <v>335</v>
      </c>
    </row>
    <row r="22" customFormat="false" ht="31.3" hidden="false" customHeight="false" outlineLevel="0" collapsed="false">
      <c r="B22" s="8" t="n">
        <v>17</v>
      </c>
      <c r="C22" s="4" t="s">
        <v>336</v>
      </c>
      <c r="D22" s="5" t="s">
        <v>337</v>
      </c>
      <c r="E22" s="5" t="s">
        <v>338</v>
      </c>
      <c r="F22" s="18" t="s">
        <v>339</v>
      </c>
      <c r="G22" s="13" t="s">
        <v>340</v>
      </c>
    </row>
    <row r="23" customFormat="false" ht="46.25" hidden="false" customHeight="false" outlineLevel="0" collapsed="false">
      <c r="B23" s="8" t="n">
        <v>18</v>
      </c>
      <c r="C23" s="4" t="s">
        <v>341</v>
      </c>
      <c r="D23" s="5" t="s">
        <v>115</v>
      </c>
      <c r="E23" s="5" t="s">
        <v>342</v>
      </c>
      <c r="F23" s="18" t="s">
        <v>343</v>
      </c>
      <c r="G23" s="13" t="s">
        <v>344</v>
      </c>
    </row>
    <row r="24" customFormat="false" ht="16.4" hidden="false" customHeight="false" outlineLevel="0" collapsed="false">
      <c r="B24" s="8" t="n">
        <v>19</v>
      </c>
      <c r="C24" s="4" t="s">
        <v>68</v>
      </c>
      <c r="D24" s="5" t="s">
        <v>345</v>
      </c>
      <c r="E24" s="5" t="s">
        <v>346</v>
      </c>
      <c r="F24" s="18" t="s">
        <v>347</v>
      </c>
      <c r="G24" s="13" t="s">
        <v>345</v>
      </c>
    </row>
  </sheetData>
  <mergeCells count="1">
    <mergeCell ref="B2:G2"/>
  </mergeCells>
  <hyperlinks>
    <hyperlink ref="F6" r:id="rId1" display="https://www.bls.gov/oes/current/oes299011.htm"/>
    <hyperlink ref="F7" r:id="rId2" display="https://www.bls.gov/oes/current/oes119021.htm"/>
    <hyperlink ref="F8" r:id="rId3" display="https://www.bls.gov/news.release/ecec.htm"/>
    <hyperlink ref="F9" r:id="rId4" display="https://www.libertymutualgroup.com/about-lm/news/news-release-archive/articles/2024-workplace-safety-index"/>
    <hyperlink ref="F10" r:id="rId5" display="https://www.bls.gov/iif/oshcfoi1.htm"/>
    <hyperlink ref="F11" r:id="rId6" display="https://www.osha.gov/penalties"/>
    <hyperlink ref="F12" r:id="rId7" display="https://www.construction-institute.org/resources/knowledgebase/best-practices/rework-management"/>
    <hyperlink ref="F13" r:id="rId8" display="https://www.enr.com/economics"/>
    <hyperlink ref="F14" r:id="rId9" display="https://www.procore.com/pricing"/>
    <hyperlink ref="F15" r:id="rId10" display="https://www.openspace.ai"/>
    <hyperlink ref="F16" r:id="rId11" display="https://www.buildots.com/case-studies"/>
    <hyperlink ref="F17" r:id="rId12" display="https://www.skydio.com/skydio-x10"/>
    <hyperlink ref="F18" r:id="rId13" display="https://www.nvidia.com/en-us/autonomous-machines/embedded-systems/jetson-orin/"/>
    <hyperlink ref="F19" r:id="rId14" display="https://www.axis.com/products/network-cameras"/>
    <hyperlink ref="F20" r:id="rId15" display="https://calculator.aws"/>
    <hyperlink ref="F21" r:id="rId16" display="https://www.glassdoor.com/Salaries/machine-learning-engineer-salary-SRCH_KO0,25.htm"/>
    <hyperlink ref="F22" r:id="rId17" display="https://www.construction.com/toolkit/reports"/>
    <hyperlink ref="F23" r:id="rId18" display="https://www.agc.org/learn/construction-data/2024-construction-outlook-survey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137</TotalTime>
  <Application>LibreOffice/26.2.3.2$Linux_X86_64 LibreOffice_project/d4d5ed47b6084125f28d269a5650105d54dde034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2026-05-13T20:24:34Z</dcterms:created>
  <dc:creator/>
  <dc:description/>
  <dc:language>en-US</dc:language>
  <cp:lastModifiedBy/>
  <dcterms:modified xsi:type="dcterms:W3CDTF">2026-05-14T01:46:28Z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